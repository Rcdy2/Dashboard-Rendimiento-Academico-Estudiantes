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 disco d\DASHBOARDS FINALES EXCEL\"/>
    </mc:Choice>
  </mc:AlternateContent>
  <xr:revisionPtr revIDLastSave="0" documentId="13_ncr:1_{2AF2A3BF-3783-4B1C-8D9D-1065CD517450}" xr6:coauthVersionLast="47" xr6:coauthVersionMax="47" xr10:uidLastSave="{00000000-0000-0000-0000-000000000000}"/>
  <bookViews>
    <workbookView xWindow="-120" yWindow="-120" windowWidth="29040" windowHeight="15840" xr2:uid="{EA2B126D-9B98-4795-AA9C-F0FEC41B95C9}"/>
  </bookViews>
  <sheets>
    <sheet name="Dashboard" sheetId="4" r:id="rId1"/>
    <sheet name="Analisis" sheetId="1" r:id="rId2"/>
    <sheet name="Datos" sheetId="2" r:id="rId3"/>
  </sheets>
  <definedNames>
    <definedName name="_xlcn.WorksheetConnection_Libro1Datos1" hidden="1">Datos!$A$1:$N$697</definedName>
    <definedName name="_xlcn.WorksheetConnection_Libro1tablaDatos1" hidden="1">tablaDatos[]</definedName>
    <definedName name="SegmentaciónDeDatos_Apellidos_y_Nombres">#N/A</definedName>
    <definedName name="SegmentaciónDeDatos_Cursos">#N/A</definedName>
    <definedName name="SegmentaciónDeDatos_Estado">#N/A</definedName>
    <definedName name="SegmentaciónDeDatos_Nota">#N/A</definedName>
    <definedName name="SegmentaciónDeDatos_Periodo">#N/A</definedName>
  </definedNames>
  <calcPr calcId="191029"/>
  <pivotCaches>
    <pivotCache cacheId="82" r:id="rId4"/>
    <pivotCache cacheId="83" r:id="rId5"/>
    <pivotCache cacheId="84" r:id="rId6"/>
    <pivotCache cacheId="85" r:id="rId7"/>
    <pivotCache cacheId="86" r:id="rId8"/>
    <pivotCache cacheId="87" r:id="rId9"/>
    <pivotCache cacheId="88" r:id="rId10"/>
    <pivotCache cacheId="89" r:id="rId11"/>
    <pivotCache cacheId="90" r:id="rId12"/>
    <pivotCache cacheId="91" r:id="rId13"/>
    <pivotCache cacheId="92" r:id="rId14"/>
    <pivotCache cacheId="93" r:id="rId15"/>
    <pivotCache cacheId="94" r:id="rId16"/>
    <pivotCache cacheId="95" r:id="rId17"/>
    <pivotCache cacheId="96" r:id="rId18"/>
  </pivotCaches>
  <extLst>
    <ext xmlns:x14="http://schemas.microsoft.com/office/spreadsheetml/2009/9/main" uri="{876F7934-8845-4945-9796-88D515C7AA90}">
      <x14:pivotCaches>
        <pivotCache cacheId="97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" name="Datos" connection="WorksheetConnection_Libro1!Datos"/>
          <x15:modelTable id="tablaDatos" name="tablaDatos" connection="WorksheetConnection_Libro1!tablaDat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5" i="1" l="1"/>
  <c r="D186" i="1"/>
  <c r="D187" i="1"/>
  <c r="D188" i="1"/>
  <c r="D189" i="1"/>
  <c r="D184" i="1"/>
  <c r="C135" i="1"/>
  <c r="J697" i="2"/>
  <c r="K697" i="2" s="1"/>
  <c r="L697" i="2" s="1"/>
  <c r="M697" i="2" s="1"/>
  <c r="J696" i="2"/>
  <c r="K696" i="2" s="1"/>
  <c r="L696" i="2" s="1"/>
  <c r="M696" i="2" s="1"/>
  <c r="K695" i="2"/>
  <c r="L695" i="2" s="1"/>
  <c r="M695" i="2" s="1"/>
  <c r="J695" i="2"/>
  <c r="K694" i="2"/>
  <c r="L694" i="2" s="1"/>
  <c r="M694" i="2" s="1"/>
  <c r="J694" i="2"/>
  <c r="K693" i="2"/>
  <c r="L693" i="2" s="1"/>
  <c r="M693" i="2" s="1"/>
  <c r="J693" i="2"/>
  <c r="K692" i="2"/>
  <c r="L692" i="2" s="1"/>
  <c r="M692" i="2" s="1"/>
  <c r="J692" i="2"/>
  <c r="K691" i="2"/>
  <c r="L691" i="2" s="1"/>
  <c r="M691" i="2" s="1"/>
  <c r="J691" i="2"/>
  <c r="J690" i="2"/>
  <c r="K690" i="2" s="1"/>
  <c r="L690" i="2" s="1"/>
  <c r="M690" i="2" s="1"/>
  <c r="K689" i="2"/>
  <c r="L689" i="2" s="1"/>
  <c r="M689" i="2" s="1"/>
  <c r="J689" i="2"/>
  <c r="K688" i="2"/>
  <c r="L688" i="2" s="1"/>
  <c r="M688" i="2" s="1"/>
  <c r="J688" i="2"/>
  <c r="K687" i="2"/>
  <c r="L687" i="2" s="1"/>
  <c r="M687" i="2" s="1"/>
  <c r="J687" i="2"/>
  <c r="K686" i="2"/>
  <c r="L686" i="2" s="1"/>
  <c r="M686" i="2" s="1"/>
  <c r="J686" i="2"/>
  <c r="K685" i="2"/>
  <c r="L685" i="2" s="1"/>
  <c r="M685" i="2" s="1"/>
  <c r="J685" i="2"/>
  <c r="J684" i="2"/>
  <c r="K684" i="2" s="1"/>
  <c r="L684" i="2" s="1"/>
  <c r="M684" i="2" s="1"/>
  <c r="K683" i="2"/>
  <c r="L683" i="2" s="1"/>
  <c r="M683" i="2" s="1"/>
  <c r="J683" i="2"/>
  <c r="K682" i="2"/>
  <c r="L682" i="2" s="1"/>
  <c r="M682" i="2" s="1"/>
  <c r="J682" i="2"/>
  <c r="K681" i="2"/>
  <c r="L681" i="2" s="1"/>
  <c r="M681" i="2" s="1"/>
  <c r="J681" i="2"/>
  <c r="K680" i="2"/>
  <c r="L680" i="2" s="1"/>
  <c r="M680" i="2" s="1"/>
  <c r="J680" i="2"/>
  <c r="K679" i="2"/>
  <c r="L679" i="2" s="1"/>
  <c r="M679" i="2" s="1"/>
  <c r="J679" i="2"/>
  <c r="J678" i="2"/>
  <c r="K678" i="2" s="1"/>
  <c r="L678" i="2" s="1"/>
  <c r="M678" i="2" s="1"/>
  <c r="K677" i="2"/>
  <c r="L677" i="2" s="1"/>
  <c r="M677" i="2" s="1"/>
  <c r="J677" i="2"/>
  <c r="K676" i="2"/>
  <c r="L676" i="2" s="1"/>
  <c r="M676" i="2" s="1"/>
  <c r="J676" i="2"/>
  <c r="K675" i="2"/>
  <c r="L675" i="2" s="1"/>
  <c r="M675" i="2" s="1"/>
  <c r="J675" i="2"/>
  <c r="K674" i="2"/>
  <c r="L674" i="2" s="1"/>
  <c r="M674" i="2" s="1"/>
  <c r="J674" i="2"/>
  <c r="K673" i="2"/>
  <c r="L673" i="2" s="1"/>
  <c r="M673" i="2" s="1"/>
  <c r="J673" i="2"/>
  <c r="J672" i="2"/>
  <c r="K672" i="2" s="1"/>
  <c r="L672" i="2" s="1"/>
  <c r="M672" i="2" s="1"/>
  <c r="K671" i="2"/>
  <c r="L671" i="2" s="1"/>
  <c r="M671" i="2" s="1"/>
  <c r="J671" i="2"/>
  <c r="K670" i="2"/>
  <c r="L670" i="2" s="1"/>
  <c r="M670" i="2" s="1"/>
  <c r="J670" i="2"/>
  <c r="K669" i="2"/>
  <c r="L669" i="2" s="1"/>
  <c r="M669" i="2" s="1"/>
  <c r="J669" i="2"/>
  <c r="K668" i="2"/>
  <c r="L668" i="2" s="1"/>
  <c r="M668" i="2" s="1"/>
  <c r="J668" i="2"/>
  <c r="K667" i="2"/>
  <c r="L667" i="2" s="1"/>
  <c r="M667" i="2" s="1"/>
  <c r="J667" i="2"/>
  <c r="J666" i="2"/>
  <c r="K666" i="2" s="1"/>
  <c r="L666" i="2" s="1"/>
  <c r="M666" i="2" s="1"/>
  <c r="K665" i="2"/>
  <c r="L665" i="2" s="1"/>
  <c r="M665" i="2" s="1"/>
  <c r="J665" i="2"/>
  <c r="K664" i="2"/>
  <c r="L664" i="2" s="1"/>
  <c r="M664" i="2" s="1"/>
  <c r="J664" i="2"/>
  <c r="K663" i="2"/>
  <c r="L663" i="2" s="1"/>
  <c r="M663" i="2" s="1"/>
  <c r="J663" i="2"/>
  <c r="K662" i="2"/>
  <c r="L662" i="2" s="1"/>
  <c r="M662" i="2" s="1"/>
  <c r="J662" i="2"/>
  <c r="K661" i="2"/>
  <c r="L661" i="2" s="1"/>
  <c r="M661" i="2" s="1"/>
  <c r="J661" i="2"/>
  <c r="J660" i="2"/>
  <c r="K660" i="2" s="1"/>
  <c r="L660" i="2" s="1"/>
  <c r="M660" i="2" s="1"/>
  <c r="K659" i="2"/>
  <c r="L659" i="2" s="1"/>
  <c r="M659" i="2" s="1"/>
  <c r="J659" i="2"/>
  <c r="K658" i="2"/>
  <c r="L658" i="2" s="1"/>
  <c r="M658" i="2" s="1"/>
  <c r="J658" i="2"/>
  <c r="K657" i="2"/>
  <c r="L657" i="2" s="1"/>
  <c r="M657" i="2" s="1"/>
  <c r="J657" i="2"/>
  <c r="K656" i="2"/>
  <c r="L656" i="2" s="1"/>
  <c r="M656" i="2" s="1"/>
  <c r="J656" i="2"/>
  <c r="K655" i="2"/>
  <c r="L655" i="2" s="1"/>
  <c r="M655" i="2" s="1"/>
  <c r="J655" i="2"/>
  <c r="J654" i="2"/>
  <c r="K654" i="2" s="1"/>
  <c r="L654" i="2" s="1"/>
  <c r="M654" i="2" s="1"/>
  <c r="K653" i="2"/>
  <c r="L653" i="2" s="1"/>
  <c r="M653" i="2" s="1"/>
  <c r="J653" i="2"/>
  <c r="K652" i="2"/>
  <c r="L652" i="2" s="1"/>
  <c r="M652" i="2" s="1"/>
  <c r="J652" i="2"/>
  <c r="K651" i="2"/>
  <c r="L651" i="2" s="1"/>
  <c r="M651" i="2" s="1"/>
  <c r="J651" i="2"/>
  <c r="K650" i="2"/>
  <c r="L650" i="2" s="1"/>
  <c r="M650" i="2" s="1"/>
  <c r="J650" i="2"/>
  <c r="K649" i="2"/>
  <c r="L649" i="2" s="1"/>
  <c r="M649" i="2" s="1"/>
  <c r="J649" i="2"/>
  <c r="J648" i="2"/>
  <c r="K648" i="2" s="1"/>
  <c r="L648" i="2" s="1"/>
  <c r="M648" i="2" s="1"/>
  <c r="K647" i="2"/>
  <c r="L647" i="2" s="1"/>
  <c r="M647" i="2" s="1"/>
  <c r="J647" i="2"/>
  <c r="K646" i="2"/>
  <c r="L646" i="2" s="1"/>
  <c r="M646" i="2" s="1"/>
  <c r="J646" i="2"/>
  <c r="K645" i="2"/>
  <c r="L645" i="2" s="1"/>
  <c r="M645" i="2" s="1"/>
  <c r="J645" i="2"/>
  <c r="K644" i="2"/>
  <c r="L644" i="2" s="1"/>
  <c r="M644" i="2" s="1"/>
  <c r="J644" i="2"/>
  <c r="K643" i="2"/>
  <c r="L643" i="2" s="1"/>
  <c r="M643" i="2" s="1"/>
  <c r="J643" i="2"/>
  <c r="J642" i="2"/>
  <c r="K642" i="2" s="1"/>
  <c r="L642" i="2" s="1"/>
  <c r="M642" i="2" s="1"/>
  <c r="K641" i="2"/>
  <c r="L641" i="2" s="1"/>
  <c r="M641" i="2" s="1"/>
  <c r="J641" i="2"/>
  <c r="K640" i="2"/>
  <c r="L640" i="2" s="1"/>
  <c r="M640" i="2" s="1"/>
  <c r="J640" i="2"/>
  <c r="K639" i="2"/>
  <c r="L639" i="2" s="1"/>
  <c r="M639" i="2" s="1"/>
  <c r="J639" i="2"/>
  <c r="K638" i="2"/>
  <c r="L638" i="2" s="1"/>
  <c r="M638" i="2" s="1"/>
  <c r="J638" i="2"/>
  <c r="K637" i="2"/>
  <c r="L637" i="2" s="1"/>
  <c r="M637" i="2" s="1"/>
  <c r="J637" i="2"/>
  <c r="J636" i="2"/>
  <c r="K636" i="2" s="1"/>
  <c r="L636" i="2" s="1"/>
  <c r="M636" i="2" s="1"/>
  <c r="K635" i="2"/>
  <c r="L635" i="2" s="1"/>
  <c r="M635" i="2" s="1"/>
  <c r="J635" i="2"/>
  <c r="K634" i="2"/>
  <c r="L634" i="2" s="1"/>
  <c r="M634" i="2" s="1"/>
  <c r="J634" i="2"/>
  <c r="K633" i="2"/>
  <c r="L633" i="2" s="1"/>
  <c r="M633" i="2" s="1"/>
  <c r="J633" i="2"/>
  <c r="K632" i="2"/>
  <c r="L632" i="2" s="1"/>
  <c r="M632" i="2" s="1"/>
  <c r="J632" i="2"/>
  <c r="K631" i="2"/>
  <c r="L631" i="2" s="1"/>
  <c r="M631" i="2" s="1"/>
  <c r="J631" i="2"/>
  <c r="J630" i="2"/>
  <c r="K630" i="2" s="1"/>
  <c r="L630" i="2" s="1"/>
  <c r="M630" i="2" s="1"/>
  <c r="K629" i="2"/>
  <c r="L629" i="2" s="1"/>
  <c r="M629" i="2" s="1"/>
  <c r="J629" i="2"/>
  <c r="K628" i="2"/>
  <c r="L628" i="2" s="1"/>
  <c r="M628" i="2" s="1"/>
  <c r="J628" i="2"/>
  <c r="K627" i="2"/>
  <c r="L627" i="2" s="1"/>
  <c r="M627" i="2" s="1"/>
  <c r="J627" i="2"/>
  <c r="K626" i="2"/>
  <c r="L626" i="2" s="1"/>
  <c r="M626" i="2" s="1"/>
  <c r="J626" i="2"/>
  <c r="K625" i="2"/>
  <c r="L625" i="2" s="1"/>
  <c r="M625" i="2" s="1"/>
  <c r="J625" i="2"/>
  <c r="J624" i="2"/>
  <c r="K624" i="2" s="1"/>
  <c r="L624" i="2" s="1"/>
  <c r="M624" i="2" s="1"/>
  <c r="K623" i="2"/>
  <c r="L623" i="2" s="1"/>
  <c r="M623" i="2" s="1"/>
  <c r="J623" i="2"/>
  <c r="K622" i="2"/>
  <c r="L622" i="2" s="1"/>
  <c r="M622" i="2" s="1"/>
  <c r="J622" i="2"/>
  <c r="K621" i="2"/>
  <c r="L621" i="2" s="1"/>
  <c r="M621" i="2" s="1"/>
  <c r="J621" i="2"/>
  <c r="K620" i="2"/>
  <c r="L620" i="2" s="1"/>
  <c r="M620" i="2" s="1"/>
  <c r="J620" i="2"/>
  <c r="K619" i="2"/>
  <c r="L619" i="2" s="1"/>
  <c r="M619" i="2" s="1"/>
  <c r="J619" i="2"/>
  <c r="J618" i="2"/>
  <c r="K618" i="2" s="1"/>
  <c r="L618" i="2" s="1"/>
  <c r="M618" i="2" s="1"/>
  <c r="K617" i="2"/>
  <c r="L617" i="2" s="1"/>
  <c r="M617" i="2" s="1"/>
  <c r="J617" i="2"/>
  <c r="K616" i="2"/>
  <c r="L616" i="2" s="1"/>
  <c r="M616" i="2" s="1"/>
  <c r="J616" i="2"/>
  <c r="K615" i="2"/>
  <c r="L615" i="2" s="1"/>
  <c r="M615" i="2" s="1"/>
  <c r="J615" i="2"/>
  <c r="K614" i="2"/>
  <c r="L614" i="2" s="1"/>
  <c r="M614" i="2" s="1"/>
  <c r="J614" i="2"/>
  <c r="K613" i="2"/>
  <c r="L613" i="2" s="1"/>
  <c r="M613" i="2" s="1"/>
  <c r="J613" i="2"/>
  <c r="J612" i="2"/>
  <c r="K612" i="2" s="1"/>
  <c r="L612" i="2" s="1"/>
  <c r="M612" i="2" s="1"/>
  <c r="K611" i="2"/>
  <c r="L611" i="2" s="1"/>
  <c r="M611" i="2" s="1"/>
  <c r="J611" i="2"/>
  <c r="K610" i="2"/>
  <c r="L610" i="2" s="1"/>
  <c r="M610" i="2" s="1"/>
  <c r="J610" i="2"/>
  <c r="K609" i="2"/>
  <c r="L609" i="2" s="1"/>
  <c r="M609" i="2" s="1"/>
  <c r="J609" i="2"/>
  <c r="K608" i="2"/>
  <c r="L608" i="2" s="1"/>
  <c r="M608" i="2" s="1"/>
  <c r="J608" i="2"/>
  <c r="K607" i="2"/>
  <c r="L607" i="2" s="1"/>
  <c r="M607" i="2" s="1"/>
  <c r="J607" i="2"/>
  <c r="J606" i="2"/>
  <c r="K606" i="2" s="1"/>
  <c r="L606" i="2" s="1"/>
  <c r="M606" i="2" s="1"/>
  <c r="K605" i="2"/>
  <c r="L605" i="2" s="1"/>
  <c r="M605" i="2" s="1"/>
  <c r="J605" i="2"/>
  <c r="K604" i="2"/>
  <c r="L604" i="2" s="1"/>
  <c r="M604" i="2" s="1"/>
  <c r="J604" i="2"/>
  <c r="K603" i="2"/>
  <c r="L603" i="2" s="1"/>
  <c r="M603" i="2" s="1"/>
  <c r="J603" i="2"/>
  <c r="K602" i="2"/>
  <c r="L602" i="2" s="1"/>
  <c r="M602" i="2" s="1"/>
  <c r="J602" i="2"/>
  <c r="K601" i="2"/>
  <c r="L601" i="2" s="1"/>
  <c r="M601" i="2" s="1"/>
  <c r="J601" i="2"/>
  <c r="J600" i="2"/>
  <c r="K600" i="2" s="1"/>
  <c r="L600" i="2" s="1"/>
  <c r="M600" i="2" s="1"/>
  <c r="K599" i="2"/>
  <c r="L599" i="2" s="1"/>
  <c r="M599" i="2" s="1"/>
  <c r="J599" i="2"/>
  <c r="K598" i="2"/>
  <c r="L598" i="2" s="1"/>
  <c r="M598" i="2" s="1"/>
  <c r="J598" i="2"/>
  <c r="K597" i="2"/>
  <c r="L597" i="2" s="1"/>
  <c r="M597" i="2" s="1"/>
  <c r="J597" i="2"/>
  <c r="K596" i="2"/>
  <c r="L596" i="2" s="1"/>
  <c r="M596" i="2" s="1"/>
  <c r="J596" i="2"/>
  <c r="K595" i="2"/>
  <c r="L595" i="2" s="1"/>
  <c r="M595" i="2" s="1"/>
  <c r="J595" i="2"/>
  <c r="J594" i="2"/>
  <c r="K594" i="2" s="1"/>
  <c r="L594" i="2" s="1"/>
  <c r="M594" i="2" s="1"/>
  <c r="K593" i="2"/>
  <c r="L593" i="2" s="1"/>
  <c r="M593" i="2" s="1"/>
  <c r="J593" i="2"/>
  <c r="K592" i="2"/>
  <c r="L592" i="2" s="1"/>
  <c r="M592" i="2" s="1"/>
  <c r="J592" i="2"/>
  <c r="K591" i="2"/>
  <c r="L591" i="2" s="1"/>
  <c r="M591" i="2" s="1"/>
  <c r="J591" i="2"/>
  <c r="K590" i="2"/>
  <c r="L590" i="2" s="1"/>
  <c r="M590" i="2" s="1"/>
  <c r="J590" i="2"/>
  <c r="K589" i="2"/>
  <c r="L589" i="2" s="1"/>
  <c r="M589" i="2" s="1"/>
  <c r="J589" i="2"/>
  <c r="J588" i="2"/>
  <c r="K588" i="2" s="1"/>
  <c r="L588" i="2" s="1"/>
  <c r="M588" i="2" s="1"/>
  <c r="K587" i="2"/>
  <c r="L587" i="2" s="1"/>
  <c r="M587" i="2" s="1"/>
  <c r="J587" i="2"/>
  <c r="K586" i="2"/>
  <c r="L586" i="2" s="1"/>
  <c r="M586" i="2" s="1"/>
  <c r="J586" i="2"/>
  <c r="K585" i="2"/>
  <c r="L585" i="2" s="1"/>
  <c r="M585" i="2" s="1"/>
  <c r="J585" i="2"/>
  <c r="K584" i="2"/>
  <c r="L584" i="2" s="1"/>
  <c r="M584" i="2" s="1"/>
  <c r="J584" i="2"/>
  <c r="K583" i="2"/>
  <c r="L583" i="2" s="1"/>
  <c r="M583" i="2" s="1"/>
  <c r="J583" i="2"/>
  <c r="J582" i="2"/>
  <c r="K582" i="2" s="1"/>
  <c r="L582" i="2" s="1"/>
  <c r="M582" i="2" s="1"/>
  <c r="K581" i="2"/>
  <c r="L581" i="2" s="1"/>
  <c r="M581" i="2" s="1"/>
  <c r="J581" i="2"/>
  <c r="K580" i="2"/>
  <c r="L580" i="2" s="1"/>
  <c r="M580" i="2" s="1"/>
  <c r="J580" i="2"/>
  <c r="K579" i="2"/>
  <c r="L579" i="2" s="1"/>
  <c r="M579" i="2" s="1"/>
  <c r="J579" i="2"/>
  <c r="K578" i="2"/>
  <c r="L578" i="2" s="1"/>
  <c r="M578" i="2" s="1"/>
  <c r="J578" i="2"/>
  <c r="K577" i="2"/>
  <c r="L577" i="2" s="1"/>
  <c r="M577" i="2" s="1"/>
  <c r="J577" i="2"/>
  <c r="J576" i="2"/>
  <c r="K576" i="2" s="1"/>
  <c r="L576" i="2" s="1"/>
  <c r="M576" i="2" s="1"/>
  <c r="K575" i="2"/>
  <c r="L575" i="2" s="1"/>
  <c r="M575" i="2" s="1"/>
  <c r="J575" i="2"/>
  <c r="K574" i="2"/>
  <c r="L574" i="2" s="1"/>
  <c r="M574" i="2" s="1"/>
  <c r="J574" i="2"/>
  <c r="K573" i="2"/>
  <c r="L573" i="2" s="1"/>
  <c r="M573" i="2" s="1"/>
  <c r="J573" i="2"/>
  <c r="K572" i="2"/>
  <c r="L572" i="2" s="1"/>
  <c r="M572" i="2" s="1"/>
  <c r="J572" i="2"/>
  <c r="K571" i="2"/>
  <c r="L571" i="2" s="1"/>
  <c r="M571" i="2" s="1"/>
  <c r="J571" i="2"/>
  <c r="J570" i="2"/>
  <c r="K570" i="2" s="1"/>
  <c r="L570" i="2" s="1"/>
  <c r="M570" i="2" s="1"/>
  <c r="K569" i="2"/>
  <c r="L569" i="2" s="1"/>
  <c r="M569" i="2" s="1"/>
  <c r="J569" i="2"/>
  <c r="K568" i="2"/>
  <c r="L568" i="2" s="1"/>
  <c r="M568" i="2" s="1"/>
  <c r="J568" i="2"/>
  <c r="K567" i="2"/>
  <c r="L567" i="2" s="1"/>
  <c r="M567" i="2" s="1"/>
  <c r="J567" i="2"/>
  <c r="K566" i="2"/>
  <c r="L566" i="2" s="1"/>
  <c r="M566" i="2" s="1"/>
  <c r="J566" i="2"/>
  <c r="K565" i="2"/>
  <c r="L565" i="2" s="1"/>
  <c r="M565" i="2" s="1"/>
  <c r="J565" i="2"/>
  <c r="J564" i="2"/>
  <c r="K564" i="2" s="1"/>
  <c r="L564" i="2" s="1"/>
  <c r="M564" i="2" s="1"/>
  <c r="K563" i="2"/>
  <c r="L563" i="2" s="1"/>
  <c r="M563" i="2" s="1"/>
  <c r="J563" i="2"/>
  <c r="K562" i="2"/>
  <c r="L562" i="2" s="1"/>
  <c r="M562" i="2" s="1"/>
  <c r="J562" i="2"/>
  <c r="K561" i="2"/>
  <c r="L561" i="2" s="1"/>
  <c r="M561" i="2" s="1"/>
  <c r="J561" i="2"/>
  <c r="K560" i="2"/>
  <c r="L560" i="2" s="1"/>
  <c r="M560" i="2" s="1"/>
  <c r="J560" i="2"/>
  <c r="K559" i="2"/>
  <c r="L559" i="2" s="1"/>
  <c r="M559" i="2" s="1"/>
  <c r="J559" i="2"/>
  <c r="J558" i="2"/>
  <c r="K558" i="2" s="1"/>
  <c r="L558" i="2" s="1"/>
  <c r="M558" i="2" s="1"/>
  <c r="K557" i="2"/>
  <c r="L557" i="2" s="1"/>
  <c r="M557" i="2" s="1"/>
  <c r="J557" i="2"/>
  <c r="K556" i="2"/>
  <c r="L556" i="2" s="1"/>
  <c r="M556" i="2" s="1"/>
  <c r="J556" i="2"/>
  <c r="K555" i="2"/>
  <c r="L555" i="2" s="1"/>
  <c r="M555" i="2" s="1"/>
  <c r="J555" i="2"/>
  <c r="K554" i="2"/>
  <c r="L554" i="2" s="1"/>
  <c r="M554" i="2" s="1"/>
  <c r="J554" i="2"/>
  <c r="K553" i="2"/>
  <c r="L553" i="2" s="1"/>
  <c r="M553" i="2" s="1"/>
  <c r="J553" i="2"/>
  <c r="J552" i="2"/>
  <c r="K552" i="2" s="1"/>
  <c r="L552" i="2" s="1"/>
  <c r="M552" i="2" s="1"/>
  <c r="K551" i="2"/>
  <c r="L551" i="2" s="1"/>
  <c r="M551" i="2" s="1"/>
  <c r="J551" i="2"/>
  <c r="K550" i="2"/>
  <c r="L550" i="2" s="1"/>
  <c r="M550" i="2" s="1"/>
  <c r="J550" i="2"/>
  <c r="K549" i="2"/>
  <c r="L549" i="2" s="1"/>
  <c r="M549" i="2" s="1"/>
  <c r="J549" i="2"/>
  <c r="K548" i="2"/>
  <c r="L548" i="2" s="1"/>
  <c r="M548" i="2" s="1"/>
  <c r="J548" i="2"/>
  <c r="K547" i="2"/>
  <c r="L547" i="2" s="1"/>
  <c r="M547" i="2" s="1"/>
  <c r="J547" i="2"/>
  <c r="J546" i="2"/>
  <c r="K546" i="2" s="1"/>
  <c r="L546" i="2" s="1"/>
  <c r="M546" i="2" s="1"/>
  <c r="K545" i="2"/>
  <c r="L545" i="2" s="1"/>
  <c r="M545" i="2" s="1"/>
  <c r="J545" i="2"/>
  <c r="K544" i="2"/>
  <c r="L544" i="2" s="1"/>
  <c r="M544" i="2" s="1"/>
  <c r="J544" i="2"/>
  <c r="K543" i="2"/>
  <c r="L543" i="2" s="1"/>
  <c r="M543" i="2" s="1"/>
  <c r="J543" i="2"/>
  <c r="K542" i="2"/>
  <c r="L542" i="2" s="1"/>
  <c r="M542" i="2" s="1"/>
  <c r="J542" i="2"/>
  <c r="K541" i="2"/>
  <c r="L541" i="2" s="1"/>
  <c r="M541" i="2" s="1"/>
  <c r="J541" i="2"/>
  <c r="J540" i="2"/>
  <c r="K540" i="2" s="1"/>
  <c r="L540" i="2" s="1"/>
  <c r="M540" i="2" s="1"/>
  <c r="K539" i="2"/>
  <c r="L539" i="2" s="1"/>
  <c r="M539" i="2" s="1"/>
  <c r="J539" i="2"/>
  <c r="K538" i="2"/>
  <c r="L538" i="2" s="1"/>
  <c r="M538" i="2" s="1"/>
  <c r="J538" i="2"/>
  <c r="K537" i="2"/>
  <c r="L537" i="2" s="1"/>
  <c r="M537" i="2" s="1"/>
  <c r="J537" i="2"/>
  <c r="K536" i="2"/>
  <c r="L536" i="2" s="1"/>
  <c r="M536" i="2" s="1"/>
  <c r="J536" i="2"/>
  <c r="K535" i="2"/>
  <c r="L535" i="2" s="1"/>
  <c r="M535" i="2" s="1"/>
  <c r="J535" i="2"/>
  <c r="J534" i="2"/>
  <c r="K534" i="2" s="1"/>
  <c r="L534" i="2" s="1"/>
  <c r="M534" i="2" s="1"/>
  <c r="K533" i="2"/>
  <c r="L533" i="2" s="1"/>
  <c r="M533" i="2" s="1"/>
  <c r="J533" i="2"/>
  <c r="K532" i="2"/>
  <c r="L532" i="2" s="1"/>
  <c r="M532" i="2" s="1"/>
  <c r="J532" i="2"/>
  <c r="K531" i="2"/>
  <c r="L531" i="2" s="1"/>
  <c r="M531" i="2" s="1"/>
  <c r="J531" i="2"/>
  <c r="K530" i="2"/>
  <c r="L530" i="2" s="1"/>
  <c r="M530" i="2" s="1"/>
  <c r="J530" i="2"/>
  <c r="K529" i="2"/>
  <c r="L529" i="2" s="1"/>
  <c r="M529" i="2" s="1"/>
  <c r="J529" i="2"/>
  <c r="J528" i="2"/>
  <c r="K528" i="2" s="1"/>
  <c r="L528" i="2" s="1"/>
  <c r="M528" i="2" s="1"/>
  <c r="K527" i="2"/>
  <c r="L527" i="2" s="1"/>
  <c r="M527" i="2" s="1"/>
  <c r="J527" i="2"/>
  <c r="K526" i="2"/>
  <c r="L526" i="2" s="1"/>
  <c r="M526" i="2" s="1"/>
  <c r="J526" i="2"/>
  <c r="K525" i="2"/>
  <c r="L525" i="2" s="1"/>
  <c r="M525" i="2" s="1"/>
  <c r="J525" i="2"/>
  <c r="K524" i="2"/>
  <c r="L524" i="2" s="1"/>
  <c r="M524" i="2" s="1"/>
  <c r="J524" i="2"/>
  <c r="K523" i="2"/>
  <c r="L523" i="2" s="1"/>
  <c r="M523" i="2" s="1"/>
  <c r="J523" i="2"/>
  <c r="J522" i="2"/>
  <c r="K522" i="2" s="1"/>
  <c r="L522" i="2" s="1"/>
  <c r="M522" i="2" s="1"/>
  <c r="K521" i="2"/>
  <c r="L521" i="2" s="1"/>
  <c r="M521" i="2" s="1"/>
  <c r="J521" i="2"/>
  <c r="K520" i="2"/>
  <c r="L520" i="2" s="1"/>
  <c r="M520" i="2" s="1"/>
  <c r="J520" i="2"/>
  <c r="K519" i="2"/>
  <c r="L519" i="2" s="1"/>
  <c r="M519" i="2" s="1"/>
  <c r="J519" i="2"/>
  <c r="K518" i="2"/>
  <c r="L518" i="2" s="1"/>
  <c r="M518" i="2" s="1"/>
  <c r="J518" i="2"/>
  <c r="K517" i="2"/>
  <c r="L517" i="2" s="1"/>
  <c r="M517" i="2" s="1"/>
  <c r="J517" i="2"/>
  <c r="J516" i="2"/>
  <c r="K516" i="2" s="1"/>
  <c r="L516" i="2" s="1"/>
  <c r="M516" i="2" s="1"/>
  <c r="K515" i="2"/>
  <c r="L515" i="2" s="1"/>
  <c r="M515" i="2" s="1"/>
  <c r="J515" i="2"/>
  <c r="K514" i="2"/>
  <c r="L514" i="2" s="1"/>
  <c r="M514" i="2" s="1"/>
  <c r="J514" i="2"/>
  <c r="K513" i="2"/>
  <c r="L513" i="2" s="1"/>
  <c r="M513" i="2" s="1"/>
  <c r="J513" i="2"/>
  <c r="K512" i="2"/>
  <c r="L512" i="2" s="1"/>
  <c r="M512" i="2" s="1"/>
  <c r="J512" i="2"/>
  <c r="K511" i="2"/>
  <c r="L511" i="2" s="1"/>
  <c r="M511" i="2" s="1"/>
  <c r="J511" i="2"/>
  <c r="J510" i="2"/>
  <c r="K510" i="2" s="1"/>
  <c r="L510" i="2" s="1"/>
  <c r="M510" i="2" s="1"/>
  <c r="K509" i="2"/>
  <c r="L509" i="2" s="1"/>
  <c r="M509" i="2" s="1"/>
  <c r="J509" i="2"/>
  <c r="K508" i="2"/>
  <c r="L508" i="2" s="1"/>
  <c r="M508" i="2" s="1"/>
  <c r="J508" i="2"/>
  <c r="K507" i="2"/>
  <c r="L507" i="2" s="1"/>
  <c r="M507" i="2" s="1"/>
  <c r="J507" i="2"/>
  <c r="K506" i="2"/>
  <c r="L506" i="2" s="1"/>
  <c r="M506" i="2" s="1"/>
  <c r="J506" i="2"/>
  <c r="K505" i="2"/>
  <c r="L505" i="2" s="1"/>
  <c r="M505" i="2" s="1"/>
  <c r="J505" i="2"/>
  <c r="J504" i="2"/>
  <c r="K504" i="2" s="1"/>
  <c r="L504" i="2" s="1"/>
  <c r="M504" i="2" s="1"/>
  <c r="K503" i="2"/>
  <c r="L503" i="2" s="1"/>
  <c r="M503" i="2" s="1"/>
  <c r="J503" i="2"/>
  <c r="K502" i="2"/>
  <c r="L502" i="2" s="1"/>
  <c r="M502" i="2" s="1"/>
  <c r="J502" i="2"/>
  <c r="K501" i="2"/>
  <c r="L501" i="2" s="1"/>
  <c r="M501" i="2" s="1"/>
  <c r="J501" i="2"/>
  <c r="K500" i="2"/>
  <c r="L500" i="2" s="1"/>
  <c r="M500" i="2" s="1"/>
  <c r="J500" i="2"/>
  <c r="K499" i="2"/>
  <c r="L499" i="2" s="1"/>
  <c r="M499" i="2" s="1"/>
  <c r="J499" i="2"/>
  <c r="J498" i="2"/>
  <c r="K498" i="2" s="1"/>
  <c r="L498" i="2" s="1"/>
  <c r="M498" i="2" s="1"/>
  <c r="K497" i="2"/>
  <c r="L497" i="2" s="1"/>
  <c r="M497" i="2" s="1"/>
  <c r="J497" i="2"/>
  <c r="K496" i="2"/>
  <c r="L496" i="2" s="1"/>
  <c r="M496" i="2" s="1"/>
  <c r="J496" i="2"/>
  <c r="K495" i="2"/>
  <c r="L495" i="2" s="1"/>
  <c r="M495" i="2" s="1"/>
  <c r="J495" i="2"/>
  <c r="K494" i="2"/>
  <c r="L494" i="2" s="1"/>
  <c r="M494" i="2" s="1"/>
  <c r="J494" i="2"/>
  <c r="L493" i="2"/>
  <c r="M493" i="2" s="1"/>
  <c r="J493" i="2"/>
  <c r="K493" i="2" s="1"/>
  <c r="J492" i="2"/>
  <c r="K492" i="2" s="1"/>
  <c r="L492" i="2" s="1"/>
  <c r="M492" i="2" s="1"/>
  <c r="J491" i="2"/>
  <c r="K491" i="2" s="1"/>
  <c r="L491" i="2" s="1"/>
  <c r="M491" i="2" s="1"/>
  <c r="J490" i="2"/>
  <c r="K490" i="2" s="1"/>
  <c r="L490" i="2" s="1"/>
  <c r="M490" i="2" s="1"/>
  <c r="J489" i="2"/>
  <c r="K489" i="2" s="1"/>
  <c r="L489" i="2" s="1"/>
  <c r="M489" i="2" s="1"/>
  <c r="J488" i="2"/>
  <c r="K488" i="2" s="1"/>
  <c r="L488" i="2" s="1"/>
  <c r="M488" i="2" s="1"/>
  <c r="J487" i="2"/>
  <c r="K487" i="2" s="1"/>
  <c r="L487" i="2" s="1"/>
  <c r="M487" i="2" s="1"/>
  <c r="J486" i="2"/>
  <c r="K486" i="2" s="1"/>
  <c r="L486" i="2" s="1"/>
  <c r="M486" i="2" s="1"/>
  <c r="J485" i="2"/>
  <c r="K485" i="2" s="1"/>
  <c r="L485" i="2" s="1"/>
  <c r="M485" i="2" s="1"/>
  <c r="J484" i="2"/>
  <c r="K484" i="2" s="1"/>
  <c r="L484" i="2" s="1"/>
  <c r="M484" i="2" s="1"/>
  <c r="J483" i="2"/>
  <c r="K483" i="2" s="1"/>
  <c r="L483" i="2" s="1"/>
  <c r="M483" i="2" s="1"/>
  <c r="J482" i="2"/>
  <c r="K482" i="2" s="1"/>
  <c r="L482" i="2" s="1"/>
  <c r="M482" i="2" s="1"/>
  <c r="J481" i="2"/>
  <c r="K481" i="2" s="1"/>
  <c r="L481" i="2" s="1"/>
  <c r="M481" i="2" s="1"/>
  <c r="J480" i="2"/>
  <c r="K480" i="2" s="1"/>
  <c r="L480" i="2" s="1"/>
  <c r="M480" i="2" s="1"/>
  <c r="J479" i="2"/>
  <c r="K479" i="2" s="1"/>
  <c r="L479" i="2" s="1"/>
  <c r="M479" i="2" s="1"/>
  <c r="K478" i="2"/>
  <c r="L478" i="2" s="1"/>
  <c r="M478" i="2" s="1"/>
  <c r="J478" i="2"/>
  <c r="J477" i="2"/>
  <c r="K477" i="2" s="1"/>
  <c r="L477" i="2" s="1"/>
  <c r="M477" i="2" s="1"/>
  <c r="J476" i="2"/>
  <c r="K476" i="2" s="1"/>
  <c r="L476" i="2" s="1"/>
  <c r="M476" i="2" s="1"/>
  <c r="J475" i="2"/>
  <c r="K475" i="2" s="1"/>
  <c r="L475" i="2" s="1"/>
  <c r="M475" i="2" s="1"/>
  <c r="J474" i="2"/>
  <c r="K474" i="2" s="1"/>
  <c r="L474" i="2" s="1"/>
  <c r="M474" i="2" s="1"/>
  <c r="J473" i="2"/>
  <c r="K473" i="2" s="1"/>
  <c r="L473" i="2" s="1"/>
  <c r="M473" i="2" s="1"/>
  <c r="J472" i="2"/>
  <c r="K472" i="2" s="1"/>
  <c r="L472" i="2" s="1"/>
  <c r="M472" i="2" s="1"/>
  <c r="K471" i="2"/>
  <c r="L471" i="2" s="1"/>
  <c r="M471" i="2" s="1"/>
  <c r="J471" i="2"/>
  <c r="J470" i="2"/>
  <c r="K470" i="2" s="1"/>
  <c r="L470" i="2" s="1"/>
  <c r="M470" i="2" s="1"/>
  <c r="J469" i="2"/>
  <c r="K469" i="2" s="1"/>
  <c r="L469" i="2" s="1"/>
  <c r="M469" i="2" s="1"/>
  <c r="J468" i="2"/>
  <c r="K468" i="2" s="1"/>
  <c r="L468" i="2" s="1"/>
  <c r="M468" i="2" s="1"/>
  <c r="J467" i="2"/>
  <c r="K467" i="2" s="1"/>
  <c r="L467" i="2" s="1"/>
  <c r="M467" i="2" s="1"/>
  <c r="K466" i="2"/>
  <c r="L466" i="2" s="1"/>
  <c r="M466" i="2" s="1"/>
  <c r="J466" i="2"/>
  <c r="K465" i="2"/>
  <c r="L465" i="2" s="1"/>
  <c r="M465" i="2" s="1"/>
  <c r="J465" i="2"/>
  <c r="J464" i="2"/>
  <c r="K464" i="2" s="1"/>
  <c r="L464" i="2" s="1"/>
  <c r="M464" i="2" s="1"/>
  <c r="J463" i="2"/>
  <c r="K463" i="2" s="1"/>
  <c r="L463" i="2" s="1"/>
  <c r="M463" i="2" s="1"/>
  <c r="J462" i="2"/>
  <c r="K462" i="2" s="1"/>
  <c r="L462" i="2" s="1"/>
  <c r="M462" i="2" s="1"/>
  <c r="K461" i="2"/>
  <c r="L461" i="2" s="1"/>
  <c r="M461" i="2" s="1"/>
  <c r="J461" i="2"/>
  <c r="L460" i="2"/>
  <c r="M460" i="2" s="1"/>
  <c r="J460" i="2"/>
  <c r="K460" i="2" s="1"/>
  <c r="K459" i="2"/>
  <c r="L459" i="2" s="1"/>
  <c r="M459" i="2" s="1"/>
  <c r="J459" i="2"/>
  <c r="K458" i="2"/>
  <c r="L458" i="2" s="1"/>
  <c r="M458" i="2" s="1"/>
  <c r="J458" i="2"/>
  <c r="J457" i="2"/>
  <c r="K457" i="2" s="1"/>
  <c r="L457" i="2" s="1"/>
  <c r="M457" i="2" s="1"/>
  <c r="K456" i="2"/>
  <c r="L456" i="2" s="1"/>
  <c r="M456" i="2" s="1"/>
  <c r="J456" i="2"/>
  <c r="K455" i="2"/>
  <c r="L455" i="2" s="1"/>
  <c r="M455" i="2" s="1"/>
  <c r="J455" i="2"/>
  <c r="K454" i="2"/>
  <c r="L454" i="2" s="1"/>
  <c r="M454" i="2" s="1"/>
  <c r="J454" i="2"/>
  <c r="M453" i="2"/>
  <c r="K453" i="2"/>
  <c r="L453" i="2" s="1"/>
  <c r="J453" i="2"/>
  <c r="J452" i="2"/>
  <c r="K452" i="2" s="1"/>
  <c r="L452" i="2" s="1"/>
  <c r="M452" i="2" s="1"/>
  <c r="J451" i="2"/>
  <c r="K451" i="2" s="1"/>
  <c r="L451" i="2" s="1"/>
  <c r="M451" i="2" s="1"/>
  <c r="J450" i="2"/>
  <c r="K450" i="2" s="1"/>
  <c r="L450" i="2" s="1"/>
  <c r="M450" i="2" s="1"/>
  <c r="J449" i="2"/>
  <c r="K449" i="2" s="1"/>
  <c r="L449" i="2" s="1"/>
  <c r="M449" i="2" s="1"/>
  <c r="K448" i="2"/>
  <c r="L448" i="2" s="1"/>
  <c r="M448" i="2" s="1"/>
  <c r="J448" i="2"/>
  <c r="J447" i="2"/>
  <c r="K447" i="2" s="1"/>
  <c r="L447" i="2" s="1"/>
  <c r="M447" i="2" s="1"/>
  <c r="K446" i="2"/>
  <c r="L446" i="2" s="1"/>
  <c r="M446" i="2" s="1"/>
  <c r="J446" i="2"/>
  <c r="J445" i="2"/>
  <c r="K445" i="2" s="1"/>
  <c r="L445" i="2" s="1"/>
  <c r="M445" i="2" s="1"/>
  <c r="J444" i="2"/>
  <c r="K444" i="2" s="1"/>
  <c r="L444" i="2" s="1"/>
  <c r="M444" i="2" s="1"/>
  <c r="J443" i="2"/>
  <c r="K443" i="2" s="1"/>
  <c r="L443" i="2" s="1"/>
  <c r="M443" i="2" s="1"/>
  <c r="J442" i="2"/>
  <c r="K442" i="2" s="1"/>
  <c r="L442" i="2" s="1"/>
  <c r="M442" i="2" s="1"/>
  <c r="K441" i="2"/>
  <c r="L441" i="2" s="1"/>
  <c r="M441" i="2" s="1"/>
  <c r="J441" i="2"/>
  <c r="J440" i="2"/>
  <c r="K440" i="2" s="1"/>
  <c r="L440" i="2" s="1"/>
  <c r="M440" i="2" s="1"/>
  <c r="J439" i="2"/>
  <c r="K439" i="2" s="1"/>
  <c r="L439" i="2" s="1"/>
  <c r="M439" i="2" s="1"/>
  <c r="K438" i="2"/>
  <c r="L438" i="2" s="1"/>
  <c r="M438" i="2" s="1"/>
  <c r="J438" i="2"/>
  <c r="K437" i="2"/>
  <c r="L437" i="2" s="1"/>
  <c r="M437" i="2" s="1"/>
  <c r="J437" i="2"/>
  <c r="J436" i="2"/>
  <c r="K436" i="2" s="1"/>
  <c r="L436" i="2" s="1"/>
  <c r="M436" i="2" s="1"/>
  <c r="J435" i="2"/>
  <c r="K435" i="2" s="1"/>
  <c r="L435" i="2" s="1"/>
  <c r="M435" i="2" s="1"/>
  <c r="J434" i="2"/>
  <c r="K434" i="2" s="1"/>
  <c r="L434" i="2" s="1"/>
  <c r="M434" i="2" s="1"/>
  <c r="K433" i="2"/>
  <c r="L433" i="2" s="1"/>
  <c r="M433" i="2" s="1"/>
  <c r="J433" i="2"/>
  <c r="J432" i="2"/>
  <c r="K432" i="2" s="1"/>
  <c r="L432" i="2" s="1"/>
  <c r="M432" i="2" s="1"/>
  <c r="K431" i="2"/>
  <c r="L431" i="2" s="1"/>
  <c r="M431" i="2" s="1"/>
  <c r="J431" i="2"/>
  <c r="K430" i="2"/>
  <c r="L430" i="2" s="1"/>
  <c r="M430" i="2" s="1"/>
  <c r="J430" i="2"/>
  <c r="K429" i="2"/>
  <c r="L429" i="2" s="1"/>
  <c r="M429" i="2" s="1"/>
  <c r="J429" i="2"/>
  <c r="J428" i="2"/>
  <c r="K428" i="2" s="1"/>
  <c r="L428" i="2" s="1"/>
  <c r="M428" i="2" s="1"/>
  <c r="J427" i="2"/>
  <c r="K427" i="2" s="1"/>
  <c r="L427" i="2" s="1"/>
  <c r="M427" i="2" s="1"/>
  <c r="K426" i="2"/>
  <c r="L426" i="2" s="1"/>
  <c r="M426" i="2" s="1"/>
  <c r="J426" i="2"/>
  <c r="J425" i="2"/>
  <c r="K425" i="2" s="1"/>
  <c r="L425" i="2" s="1"/>
  <c r="M425" i="2" s="1"/>
  <c r="J424" i="2"/>
  <c r="K424" i="2" s="1"/>
  <c r="L424" i="2" s="1"/>
  <c r="M424" i="2" s="1"/>
  <c r="J423" i="2"/>
  <c r="K423" i="2" s="1"/>
  <c r="L423" i="2" s="1"/>
  <c r="M423" i="2" s="1"/>
  <c r="J422" i="2"/>
  <c r="K422" i="2" s="1"/>
  <c r="L422" i="2" s="1"/>
  <c r="M422" i="2" s="1"/>
  <c r="K421" i="2"/>
  <c r="L421" i="2" s="1"/>
  <c r="M421" i="2" s="1"/>
  <c r="J421" i="2"/>
  <c r="M420" i="2"/>
  <c r="K420" i="2"/>
  <c r="L420" i="2" s="1"/>
  <c r="J420" i="2"/>
  <c r="J419" i="2"/>
  <c r="K419" i="2" s="1"/>
  <c r="L419" i="2" s="1"/>
  <c r="M419" i="2" s="1"/>
  <c r="K418" i="2"/>
  <c r="L418" i="2" s="1"/>
  <c r="M418" i="2" s="1"/>
  <c r="J418" i="2"/>
  <c r="K417" i="2"/>
  <c r="L417" i="2" s="1"/>
  <c r="M417" i="2" s="1"/>
  <c r="J417" i="2"/>
  <c r="J416" i="2"/>
  <c r="K416" i="2" s="1"/>
  <c r="L416" i="2" s="1"/>
  <c r="M416" i="2" s="1"/>
  <c r="J415" i="2"/>
  <c r="K415" i="2" s="1"/>
  <c r="L415" i="2" s="1"/>
  <c r="M415" i="2" s="1"/>
  <c r="J414" i="2"/>
  <c r="K414" i="2" s="1"/>
  <c r="L414" i="2" s="1"/>
  <c r="M414" i="2" s="1"/>
  <c r="K413" i="2"/>
  <c r="L413" i="2" s="1"/>
  <c r="M413" i="2" s="1"/>
  <c r="J413" i="2"/>
  <c r="J412" i="2"/>
  <c r="K412" i="2" s="1"/>
  <c r="L412" i="2" s="1"/>
  <c r="M412" i="2" s="1"/>
  <c r="J411" i="2"/>
  <c r="K411" i="2" s="1"/>
  <c r="L411" i="2" s="1"/>
  <c r="M411" i="2" s="1"/>
  <c r="J410" i="2"/>
  <c r="K410" i="2" s="1"/>
  <c r="L410" i="2" s="1"/>
  <c r="M410" i="2" s="1"/>
  <c r="K409" i="2"/>
  <c r="L409" i="2" s="1"/>
  <c r="M409" i="2" s="1"/>
  <c r="J409" i="2"/>
  <c r="J408" i="2"/>
  <c r="K408" i="2" s="1"/>
  <c r="L408" i="2" s="1"/>
  <c r="M408" i="2" s="1"/>
  <c r="J407" i="2"/>
  <c r="K407" i="2" s="1"/>
  <c r="L407" i="2" s="1"/>
  <c r="M407" i="2" s="1"/>
  <c r="K406" i="2"/>
  <c r="L406" i="2" s="1"/>
  <c r="M406" i="2" s="1"/>
  <c r="J406" i="2"/>
  <c r="K405" i="2"/>
  <c r="L405" i="2" s="1"/>
  <c r="M405" i="2" s="1"/>
  <c r="J405" i="2"/>
  <c r="J404" i="2"/>
  <c r="K404" i="2" s="1"/>
  <c r="L404" i="2" s="1"/>
  <c r="M404" i="2" s="1"/>
  <c r="K403" i="2"/>
  <c r="L403" i="2" s="1"/>
  <c r="M403" i="2" s="1"/>
  <c r="J403" i="2"/>
  <c r="K402" i="2"/>
  <c r="L402" i="2" s="1"/>
  <c r="M402" i="2" s="1"/>
  <c r="J402" i="2"/>
  <c r="K401" i="2"/>
  <c r="L401" i="2" s="1"/>
  <c r="M401" i="2" s="1"/>
  <c r="J401" i="2"/>
  <c r="J400" i="2"/>
  <c r="K400" i="2" s="1"/>
  <c r="L400" i="2" s="1"/>
  <c r="M400" i="2" s="1"/>
  <c r="J399" i="2"/>
  <c r="K399" i="2" s="1"/>
  <c r="L399" i="2" s="1"/>
  <c r="M399" i="2" s="1"/>
  <c r="J398" i="2"/>
  <c r="K398" i="2" s="1"/>
  <c r="L398" i="2" s="1"/>
  <c r="M398" i="2" s="1"/>
  <c r="J397" i="2"/>
  <c r="K397" i="2" s="1"/>
  <c r="L397" i="2" s="1"/>
  <c r="M397" i="2" s="1"/>
  <c r="J396" i="2"/>
  <c r="K396" i="2" s="1"/>
  <c r="L396" i="2" s="1"/>
  <c r="M396" i="2" s="1"/>
  <c r="J395" i="2"/>
  <c r="K395" i="2" s="1"/>
  <c r="L395" i="2" s="1"/>
  <c r="M395" i="2" s="1"/>
  <c r="K394" i="2"/>
  <c r="L394" i="2" s="1"/>
  <c r="M394" i="2" s="1"/>
  <c r="J394" i="2"/>
  <c r="K393" i="2"/>
  <c r="L393" i="2" s="1"/>
  <c r="M393" i="2" s="1"/>
  <c r="J393" i="2"/>
  <c r="J392" i="2"/>
  <c r="K392" i="2" s="1"/>
  <c r="L392" i="2" s="1"/>
  <c r="M392" i="2" s="1"/>
  <c r="J391" i="2"/>
  <c r="K391" i="2" s="1"/>
  <c r="L391" i="2" s="1"/>
  <c r="M391" i="2" s="1"/>
  <c r="K390" i="2"/>
  <c r="L390" i="2" s="1"/>
  <c r="M390" i="2" s="1"/>
  <c r="J390" i="2"/>
  <c r="K389" i="2"/>
  <c r="L389" i="2" s="1"/>
  <c r="M389" i="2" s="1"/>
  <c r="J389" i="2"/>
  <c r="J388" i="2"/>
  <c r="K388" i="2" s="1"/>
  <c r="L388" i="2" s="1"/>
  <c r="M388" i="2" s="1"/>
  <c r="K387" i="2"/>
  <c r="L387" i="2" s="1"/>
  <c r="M387" i="2" s="1"/>
  <c r="J387" i="2"/>
  <c r="J386" i="2"/>
  <c r="K386" i="2" s="1"/>
  <c r="L386" i="2" s="1"/>
  <c r="M386" i="2" s="1"/>
  <c r="K385" i="2"/>
  <c r="L385" i="2" s="1"/>
  <c r="M385" i="2" s="1"/>
  <c r="J385" i="2"/>
  <c r="J384" i="2"/>
  <c r="K384" i="2" s="1"/>
  <c r="L384" i="2" s="1"/>
  <c r="M384" i="2" s="1"/>
  <c r="J383" i="2"/>
  <c r="K383" i="2" s="1"/>
  <c r="L383" i="2" s="1"/>
  <c r="M383" i="2" s="1"/>
  <c r="K382" i="2"/>
  <c r="L382" i="2" s="1"/>
  <c r="M382" i="2" s="1"/>
  <c r="J382" i="2"/>
  <c r="J381" i="2"/>
  <c r="K381" i="2" s="1"/>
  <c r="L381" i="2" s="1"/>
  <c r="M381" i="2" s="1"/>
  <c r="J380" i="2"/>
  <c r="K380" i="2" s="1"/>
  <c r="L380" i="2" s="1"/>
  <c r="M380" i="2" s="1"/>
  <c r="J379" i="2"/>
  <c r="K379" i="2" s="1"/>
  <c r="L379" i="2" s="1"/>
  <c r="M379" i="2" s="1"/>
  <c r="K378" i="2"/>
  <c r="L378" i="2" s="1"/>
  <c r="M378" i="2" s="1"/>
  <c r="J378" i="2"/>
  <c r="K377" i="2"/>
  <c r="L377" i="2" s="1"/>
  <c r="M377" i="2" s="1"/>
  <c r="J377" i="2"/>
  <c r="M376" i="2"/>
  <c r="K376" i="2"/>
  <c r="L376" i="2" s="1"/>
  <c r="J376" i="2"/>
  <c r="J375" i="2"/>
  <c r="K375" i="2" s="1"/>
  <c r="L375" i="2" s="1"/>
  <c r="M375" i="2" s="1"/>
  <c r="J374" i="2"/>
  <c r="K374" i="2" s="1"/>
  <c r="L374" i="2" s="1"/>
  <c r="M374" i="2" s="1"/>
  <c r="K373" i="2"/>
  <c r="L373" i="2" s="1"/>
  <c r="M373" i="2" s="1"/>
  <c r="J373" i="2"/>
  <c r="J372" i="2"/>
  <c r="K372" i="2" s="1"/>
  <c r="L372" i="2" s="1"/>
  <c r="M372" i="2" s="1"/>
  <c r="J371" i="2"/>
  <c r="K371" i="2" s="1"/>
  <c r="L371" i="2" s="1"/>
  <c r="M371" i="2" s="1"/>
  <c r="J370" i="2"/>
  <c r="K370" i="2" s="1"/>
  <c r="L370" i="2" s="1"/>
  <c r="M370" i="2" s="1"/>
  <c r="K369" i="2"/>
  <c r="L369" i="2" s="1"/>
  <c r="M369" i="2" s="1"/>
  <c r="J369" i="2"/>
  <c r="J368" i="2"/>
  <c r="K368" i="2" s="1"/>
  <c r="L368" i="2" s="1"/>
  <c r="M368" i="2" s="1"/>
  <c r="J367" i="2"/>
  <c r="K367" i="2" s="1"/>
  <c r="L367" i="2" s="1"/>
  <c r="M367" i="2" s="1"/>
  <c r="J366" i="2"/>
  <c r="K366" i="2" s="1"/>
  <c r="L366" i="2" s="1"/>
  <c r="M366" i="2" s="1"/>
  <c r="K365" i="2"/>
  <c r="L365" i="2" s="1"/>
  <c r="M365" i="2" s="1"/>
  <c r="J365" i="2"/>
  <c r="K364" i="2"/>
  <c r="L364" i="2" s="1"/>
  <c r="M364" i="2" s="1"/>
  <c r="J364" i="2"/>
  <c r="J363" i="2"/>
  <c r="K363" i="2" s="1"/>
  <c r="L363" i="2" s="1"/>
  <c r="M363" i="2" s="1"/>
  <c r="K362" i="2"/>
  <c r="L362" i="2" s="1"/>
  <c r="M362" i="2" s="1"/>
  <c r="J362" i="2"/>
  <c r="J361" i="2"/>
  <c r="K361" i="2" s="1"/>
  <c r="L361" i="2" s="1"/>
  <c r="M361" i="2" s="1"/>
  <c r="J360" i="2"/>
  <c r="K360" i="2" s="1"/>
  <c r="L360" i="2" s="1"/>
  <c r="M360" i="2" s="1"/>
  <c r="K359" i="2"/>
  <c r="L359" i="2" s="1"/>
  <c r="M359" i="2" s="1"/>
  <c r="J359" i="2"/>
  <c r="K358" i="2"/>
  <c r="L358" i="2" s="1"/>
  <c r="M358" i="2" s="1"/>
  <c r="J358" i="2"/>
  <c r="J357" i="2"/>
  <c r="K357" i="2" s="1"/>
  <c r="L357" i="2" s="1"/>
  <c r="M357" i="2" s="1"/>
  <c r="K356" i="2"/>
  <c r="L356" i="2" s="1"/>
  <c r="M356" i="2" s="1"/>
  <c r="J356" i="2"/>
  <c r="J355" i="2"/>
  <c r="K355" i="2" s="1"/>
  <c r="L355" i="2" s="1"/>
  <c r="M355" i="2" s="1"/>
  <c r="J354" i="2"/>
  <c r="K354" i="2" s="1"/>
  <c r="L354" i="2" s="1"/>
  <c r="M354" i="2" s="1"/>
  <c r="K353" i="2"/>
  <c r="L353" i="2" s="1"/>
  <c r="M353" i="2" s="1"/>
  <c r="J353" i="2"/>
  <c r="K352" i="2"/>
  <c r="L352" i="2" s="1"/>
  <c r="M352" i="2" s="1"/>
  <c r="J352" i="2"/>
  <c r="J351" i="2"/>
  <c r="K351" i="2" s="1"/>
  <c r="L351" i="2" s="1"/>
  <c r="M351" i="2" s="1"/>
  <c r="K350" i="2"/>
  <c r="L350" i="2" s="1"/>
  <c r="M350" i="2" s="1"/>
  <c r="J350" i="2"/>
  <c r="J349" i="2"/>
  <c r="K349" i="2" s="1"/>
  <c r="L349" i="2" s="1"/>
  <c r="M349" i="2" s="1"/>
  <c r="J348" i="2"/>
  <c r="K348" i="2" s="1"/>
  <c r="L348" i="2" s="1"/>
  <c r="M348" i="2" s="1"/>
  <c r="K347" i="2"/>
  <c r="L347" i="2" s="1"/>
  <c r="M347" i="2" s="1"/>
  <c r="J347" i="2"/>
  <c r="K346" i="2"/>
  <c r="L346" i="2" s="1"/>
  <c r="M346" i="2" s="1"/>
  <c r="J346" i="2"/>
  <c r="J345" i="2"/>
  <c r="K345" i="2" s="1"/>
  <c r="L345" i="2" s="1"/>
  <c r="M345" i="2" s="1"/>
  <c r="K344" i="2"/>
  <c r="L344" i="2" s="1"/>
  <c r="M344" i="2" s="1"/>
  <c r="J344" i="2"/>
  <c r="J343" i="2"/>
  <c r="K343" i="2" s="1"/>
  <c r="L343" i="2" s="1"/>
  <c r="M343" i="2" s="1"/>
  <c r="J342" i="2"/>
  <c r="K342" i="2" s="1"/>
  <c r="L342" i="2" s="1"/>
  <c r="M342" i="2" s="1"/>
  <c r="K341" i="2"/>
  <c r="L341" i="2" s="1"/>
  <c r="M341" i="2" s="1"/>
  <c r="J341" i="2"/>
  <c r="K340" i="2"/>
  <c r="L340" i="2" s="1"/>
  <c r="M340" i="2" s="1"/>
  <c r="J340" i="2"/>
  <c r="J339" i="2"/>
  <c r="K339" i="2" s="1"/>
  <c r="L339" i="2" s="1"/>
  <c r="M339" i="2" s="1"/>
  <c r="K338" i="2"/>
  <c r="L338" i="2" s="1"/>
  <c r="M338" i="2" s="1"/>
  <c r="J338" i="2"/>
  <c r="J337" i="2"/>
  <c r="K337" i="2" s="1"/>
  <c r="L337" i="2" s="1"/>
  <c r="M337" i="2" s="1"/>
  <c r="J336" i="2"/>
  <c r="K336" i="2" s="1"/>
  <c r="L336" i="2" s="1"/>
  <c r="M336" i="2" s="1"/>
  <c r="K335" i="2"/>
  <c r="L335" i="2" s="1"/>
  <c r="M335" i="2" s="1"/>
  <c r="J335" i="2"/>
  <c r="K334" i="2"/>
  <c r="L334" i="2" s="1"/>
  <c r="M334" i="2" s="1"/>
  <c r="J334" i="2"/>
  <c r="J333" i="2"/>
  <c r="K333" i="2" s="1"/>
  <c r="L333" i="2" s="1"/>
  <c r="M333" i="2" s="1"/>
  <c r="J332" i="2"/>
  <c r="K332" i="2" s="1"/>
  <c r="L332" i="2" s="1"/>
  <c r="M332" i="2" s="1"/>
  <c r="J331" i="2"/>
  <c r="K331" i="2" s="1"/>
  <c r="L331" i="2" s="1"/>
  <c r="M331" i="2" s="1"/>
  <c r="J330" i="2"/>
  <c r="K330" i="2" s="1"/>
  <c r="L330" i="2" s="1"/>
  <c r="M330" i="2" s="1"/>
  <c r="J329" i="2"/>
  <c r="K329" i="2" s="1"/>
  <c r="L329" i="2" s="1"/>
  <c r="M329" i="2" s="1"/>
  <c r="J328" i="2"/>
  <c r="K328" i="2" s="1"/>
  <c r="L328" i="2" s="1"/>
  <c r="M328" i="2" s="1"/>
  <c r="K327" i="2"/>
  <c r="L327" i="2" s="1"/>
  <c r="M327" i="2" s="1"/>
  <c r="J327" i="2"/>
  <c r="M326" i="2"/>
  <c r="J326" i="2"/>
  <c r="K326" i="2" s="1"/>
  <c r="L326" i="2" s="1"/>
  <c r="J325" i="2"/>
  <c r="K325" i="2" s="1"/>
  <c r="L325" i="2" s="1"/>
  <c r="M325" i="2" s="1"/>
  <c r="J324" i="2"/>
  <c r="K324" i="2" s="1"/>
  <c r="L324" i="2" s="1"/>
  <c r="M324" i="2" s="1"/>
  <c r="K323" i="2"/>
  <c r="L323" i="2" s="1"/>
  <c r="M323" i="2" s="1"/>
  <c r="J323" i="2"/>
  <c r="K322" i="2"/>
  <c r="L322" i="2" s="1"/>
  <c r="M322" i="2" s="1"/>
  <c r="J322" i="2"/>
  <c r="K321" i="2"/>
  <c r="L321" i="2" s="1"/>
  <c r="M321" i="2" s="1"/>
  <c r="J321" i="2"/>
  <c r="M320" i="2"/>
  <c r="J320" i="2"/>
  <c r="K320" i="2" s="1"/>
  <c r="L320" i="2" s="1"/>
  <c r="J319" i="2"/>
  <c r="K319" i="2" s="1"/>
  <c r="L319" i="2" s="1"/>
  <c r="M319" i="2" s="1"/>
  <c r="J318" i="2"/>
  <c r="K318" i="2" s="1"/>
  <c r="L318" i="2" s="1"/>
  <c r="M318" i="2" s="1"/>
  <c r="J317" i="2"/>
  <c r="K317" i="2" s="1"/>
  <c r="L317" i="2" s="1"/>
  <c r="M317" i="2" s="1"/>
  <c r="J316" i="2"/>
  <c r="K316" i="2" s="1"/>
  <c r="L316" i="2" s="1"/>
  <c r="M316" i="2" s="1"/>
  <c r="J315" i="2"/>
  <c r="K315" i="2" s="1"/>
  <c r="L315" i="2" s="1"/>
  <c r="M315" i="2" s="1"/>
  <c r="J314" i="2"/>
  <c r="K314" i="2" s="1"/>
  <c r="L314" i="2" s="1"/>
  <c r="M314" i="2" s="1"/>
  <c r="J313" i="2"/>
  <c r="K313" i="2" s="1"/>
  <c r="L313" i="2" s="1"/>
  <c r="M313" i="2" s="1"/>
  <c r="L312" i="2"/>
  <c r="M312" i="2" s="1"/>
  <c r="J312" i="2"/>
  <c r="K312" i="2" s="1"/>
  <c r="J311" i="2"/>
  <c r="K311" i="2" s="1"/>
  <c r="L311" i="2" s="1"/>
  <c r="M311" i="2" s="1"/>
  <c r="K310" i="2"/>
  <c r="L310" i="2" s="1"/>
  <c r="M310" i="2" s="1"/>
  <c r="J310" i="2"/>
  <c r="K309" i="2"/>
  <c r="L309" i="2" s="1"/>
  <c r="M309" i="2" s="1"/>
  <c r="J309" i="2"/>
  <c r="M308" i="2"/>
  <c r="J308" i="2"/>
  <c r="K308" i="2" s="1"/>
  <c r="L308" i="2" s="1"/>
  <c r="J307" i="2"/>
  <c r="K307" i="2" s="1"/>
  <c r="L307" i="2" s="1"/>
  <c r="M307" i="2" s="1"/>
  <c r="L306" i="2"/>
  <c r="M306" i="2" s="1"/>
  <c r="J306" i="2"/>
  <c r="K306" i="2" s="1"/>
  <c r="K305" i="2"/>
  <c r="L305" i="2" s="1"/>
  <c r="M305" i="2" s="1"/>
  <c r="J305" i="2"/>
  <c r="K304" i="2"/>
  <c r="L304" i="2" s="1"/>
  <c r="M304" i="2" s="1"/>
  <c r="J304" i="2"/>
  <c r="J303" i="2"/>
  <c r="K303" i="2" s="1"/>
  <c r="L303" i="2" s="1"/>
  <c r="M303" i="2" s="1"/>
  <c r="J302" i="2"/>
  <c r="K302" i="2" s="1"/>
  <c r="L302" i="2" s="1"/>
  <c r="M302" i="2" s="1"/>
  <c r="J301" i="2"/>
  <c r="K301" i="2" s="1"/>
  <c r="L301" i="2" s="1"/>
  <c r="M301" i="2" s="1"/>
  <c r="L300" i="2"/>
  <c r="M300" i="2" s="1"/>
  <c r="J300" i="2"/>
  <c r="K300" i="2" s="1"/>
  <c r="J299" i="2"/>
  <c r="K299" i="2" s="1"/>
  <c r="L299" i="2" s="1"/>
  <c r="M299" i="2" s="1"/>
  <c r="J298" i="2"/>
  <c r="K298" i="2" s="1"/>
  <c r="L298" i="2" s="1"/>
  <c r="M298" i="2" s="1"/>
  <c r="K297" i="2"/>
  <c r="L297" i="2" s="1"/>
  <c r="M297" i="2" s="1"/>
  <c r="J297" i="2"/>
  <c r="J296" i="2"/>
  <c r="K296" i="2" s="1"/>
  <c r="L296" i="2" s="1"/>
  <c r="M296" i="2" s="1"/>
  <c r="J295" i="2"/>
  <c r="K295" i="2" s="1"/>
  <c r="L295" i="2" s="1"/>
  <c r="M295" i="2" s="1"/>
  <c r="J294" i="2"/>
  <c r="K294" i="2" s="1"/>
  <c r="L294" i="2" s="1"/>
  <c r="M294" i="2" s="1"/>
  <c r="J293" i="2"/>
  <c r="K293" i="2" s="1"/>
  <c r="L293" i="2" s="1"/>
  <c r="M293" i="2" s="1"/>
  <c r="K292" i="2"/>
  <c r="L292" i="2" s="1"/>
  <c r="M292" i="2" s="1"/>
  <c r="J292" i="2"/>
  <c r="J291" i="2"/>
  <c r="K291" i="2" s="1"/>
  <c r="L291" i="2" s="1"/>
  <c r="M291" i="2" s="1"/>
  <c r="J290" i="2"/>
  <c r="K290" i="2" s="1"/>
  <c r="L290" i="2" s="1"/>
  <c r="M290" i="2" s="1"/>
  <c r="J289" i="2"/>
  <c r="K289" i="2" s="1"/>
  <c r="L289" i="2" s="1"/>
  <c r="M289" i="2" s="1"/>
  <c r="J288" i="2"/>
  <c r="K288" i="2" s="1"/>
  <c r="L288" i="2" s="1"/>
  <c r="M288" i="2" s="1"/>
  <c r="J287" i="2"/>
  <c r="K287" i="2" s="1"/>
  <c r="L287" i="2" s="1"/>
  <c r="M287" i="2" s="1"/>
  <c r="K286" i="2"/>
  <c r="L286" i="2" s="1"/>
  <c r="M286" i="2" s="1"/>
  <c r="J286" i="2"/>
  <c r="J285" i="2"/>
  <c r="K285" i="2" s="1"/>
  <c r="L285" i="2" s="1"/>
  <c r="M285" i="2" s="1"/>
  <c r="J284" i="2"/>
  <c r="K284" i="2" s="1"/>
  <c r="L284" i="2" s="1"/>
  <c r="M284" i="2" s="1"/>
  <c r="J283" i="2"/>
  <c r="K283" i="2" s="1"/>
  <c r="L283" i="2" s="1"/>
  <c r="M283" i="2" s="1"/>
  <c r="J282" i="2"/>
  <c r="K282" i="2" s="1"/>
  <c r="L282" i="2" s="1"/>
  <c r="M282" i="2" s="1"/>
  <c r="K281" i="2"/>
  <c r="L281" i="2" s="1"/>
  <c r="M281" i="2" s="1"/>
  <c r="J281" i="2"/>
  <c r="K280" i="2"/>
  <c r="L280" i="2" s="1"/>
  <c r="M280" i="2" s="1"/>
  <c r="J280" i="2"/>
  <c r="J279" i="2"/>
  <c r="K279" i="2" s="1"/>
  <c r="L279" i="2" s="1"/>
  <c r="M279" i="2" s="1"/>
  <c r="J278" i="2"/>
  <c r="K278" i="2" s="1"/>
  <c r="L278" i="2" s="1"/>
  <c r="M278" i="2" s="1"/>
  <c r="K277" i="2"/>
  <c r="L277" i="2" s="1"/>
  <c r="M277" i="2" s="1"/>
  <c r="J277" i="2"/>
  <c r="L276" i="2"/>
  <c r="M276" i="2" s="1"/>
  <c r="J276" i="2"/>
  <c r="K276" i="2" s="1"/>
  <c r="K275" i="2"/>
  <c r="L275" i="2" s="1"/>
  <c r="M275" i="2" s="1"/>
  <c r="J275" i="2"/>
  <c r="J274" i="2"/>
  <c r="K274" i="2" s="1"/>
  <c r="L274" i="2" s="1"/>
  <c r="M274" i="2" s="1"/>
  <c r="K273" i="2"/>
  <c r="L273" i="2" s="1"/>
  <c r="M273" i="2" s="1"/>
  <c r="J273" i="2"/>
  <c r="J272" i="2"/>
  <c r="K272" i="2" s="1"/>
  <c r="L272" i="2" s="1"/>
  <c r="M272" i="2" s="1"/>
  <c r="K271" i="2"/>
  <c r="L271" i="2" s="1"/>
  <c r="M271" i="2" s="1"/>
  <c r="J271" i="2"/>
  <c r="K270" i="2"/>
  <c r="L270" i="2" s="1"/>
  <c r="M270" i="2" s="1"/>
  <c r="J270" i="2"/>
  <c r="J269" i="2"/>
  <c r="K269" i="2" s="1"/>
  <c r="L269" i="2" s="1"/>
  <c r="M269" i="2" s="1"/>
  <c r="K268" i="2"/>
  <c r="L268" i="2" s="1"/>
  <c r="M268" i="2" s="1"/>
  <c r="J268" i="2"/>
  <c r="J267" i="2"/>
  <c r="K267" i="2" s="1"/>
  <c r="L267" i="2" s="1"/>
  <c r="M267" i="2" s="1"/>
  <c r="J266" i="2"/>
  <c r="K266" i="2" s="1"/>
  <c r="L266" i="2" s="1"/>
  <c r="M266" i="2" s="1"/>
  <c r="K265" i="2"/>
  <c r="L265" i="2" s="1"/>
  <c r="M265" i="2" s="1"/>
  <c r="J265" i="2"/>
  <c r="L264" i="2"/>
  <c r="M264" i="2" s="1"/>
  <c r="J264" i="2"/>
  <c r="K264" i="2" s="1"/>
  <c r="M263" i="2"/>
  <c r="K263" i="2"/>
  <c r="L263" i="2" s="1"/>
  <c r="J263" i="2"/>
  <c r="J262" i="2"/>
  <c r="K262" i="2" s="1"/>
  <c r="L262" i="2" s="1"/>
  <c r="M262" i="2" s="1"/>
  <c r="K261" i="2"/>
  <c r="L261" i="2" s="1"/>
  <c r="M261" i="2" s="1"/>
  <c r="J261" i="2"/>
  <c r="K260" i="2"/>
  <c r="L260" i="2" s="1"/>
  <c r="M260" i="2" s="1"/>
  <c r="J260" i="2"/>
  <c r="L259" i="2"/>
  <c r="M259" i="2" s="1"/>
  <c r="J259" i="2"/>
  <c r="K259" i="2" s="1"/>
  <c r="J258" i="2"/>
  <c r="K258" i="2" s="1"/>
  <c r="L258" i="2" s="1"/>
  <c r="M258" i="2" s="1"/>
  <c r="J257" i="2"/>
  <c r="K257" i="2" s="1"/>
  <c r="L257" i="2" s="1"/>
  <c r="M257" i="2" s="1"/>
  <c r="J256" i="2"/>
  <c r="K256" i="2" s="1"/>
  <c r="L256" i="2" s="1"/>
  <c r="M256" i="2" s="1"/>
  <c r="K255" i="2"/>
  <c r="L255" i="2" s="1"/>
  <c r="M255" i="2" s="1"/>
  <c r="J255" i="2"/>
  <c r="M254" i="2"/>
  <c r="J254" i="2"/>
  <c r="K254" i="2" s="1"/>
  <c r="L254" i="2" s="1"/>
  <c r="J253" i="2"/>
  <c r="K253" i="2" s="1"/>
  <c r="L253" i="2" s="1"/>
  <c r="M253" i="2" s="1"/>
  <c r="J252" i="2"/>
  <c r="K252" i="2" s="1"/>
  <c r="L252" i="2" s="1"/>
  <c r="M252" i="2" s="1"/>
  <c r="J251" i="2"/>
  <c r="K251" i="2" s="1"/>
  <c r="L251" i="2" s="1"/>
  <c r="M251" i="2" s="1"/>
  <c r="K250" i="2"/>
  <c r="L250" i="2" s="1"/>
  <c r="M250" i="2" s="1"/>
  <c r="J250" i="2"/>
  <c r="J249" i="2"/>
  <c r="K249" i="2" s="1"/>
  <c r="L249" i="2" s="1"/>
  <c r="M249" i="2" s="1"/>
  <c r="J248" i="2"/>
  <c r="K248" i="2" s="1"/>
  <c r="L248" i="2" s="1"/>
  <c r="M248" i="2" s="1"/>
  <c r="J247" i="2"/>
  <c r="K247" i="2" s="1"/>
  <c r="L247" i="2" s="1"/>
  <c r="M247" i="2" s="1"/>
  <c r="J246" i="2"/>
  <c r="K246" i="2" s="1"/>
  <c r="L246" i="2" s="1"/>
  <c r="M246" i="2" s="1"/>
  <c r="K245" i="2"/>
  <c r="L245" i="2" s="1"/>
  <c r="M245" i="2" s="1"/>
  <c r="J245" i="2"/>
  <c r="K244" i="2"/>
  <c r="L244" i="2" s="1"/>
  <c r="M244" i="2" s="1"/>
  <c r="J244" i="2"/>
  <c r="J243" i="2"/>
  <c r="K243" i="2" s="1"/>
  <c r="L243" i="2" s="1"/>
  <c r="M243" i="2" s="1"/>
  <c r="J242" i="2"/>
  <c r="K242" i="2" s="1"/>
  <c r="L242" i="2" s="1"/>
  <c r="M242" i="2" s="1"/>
  <c r="J241" i="2"/>
  <c r="K241" i="2" s="1"/>
  <c r="L241" i="2" s="1"/>
  <c r="M241" i="2" s="1"/>
  <c r="J240" i="2"/>
  <c r="K240" i="2" s="1"/>
  <c r="L240" i="2" s="1"/>
  <c r="M240" i="2" s="1"/>
  <c r="J239" i="2"/>
  <c r="K239" i="2" s="1"/>
  <c r="L239" i="2" s="1"/>
  <c r="M239" i="2" s="1"/>
  <c r="J238" i="2"/>
  <c r="K238" i="2" s="1"/>
  <c r="L238" i="2" s="1"/>
  <c r="M238" i="2" s="1"/>
  <c r="K237" i="2"/>
  <c r="L237" i="2" s="1"/>
  <c r="M237" i="2" s="1"/>
  <c r="J237" i="2"/>
  <c r="J236" i="2"/>
  <c r="K236" i="2" s="1"/>
  <c r="L236" i="2" s="1"/>
  <c r="M236" i="2" s="1"/>
  <c r="J235" i="2"/>
  <c r="K235" i="2" s="1"/>
  <c r="L235" i="2" s="1"/>
  <c r="M235" i="2" s="1"/>
  <c r="K234" i="2"/>
  <c r="L234" i="2" s="1"/>
  <c r="M234" i="2" s="1"/>
  <c r="J234" i="2"/>
  <c r="K233" i="2"/>
  <c r="L233" i="2" s="1"/>
  <c r="M233" i="2" s="1"/>
  <c r="J233" i="2"/>
  <c r="K232" i="2"/>
  <c r="L232" i="2" s="1"/>
  <c r="M232" i="2" s="1"/>
  <c r="J232" i="2"/>
  <c r="J231" i="2"/>
  <c r="K231" i="2" s="1"/>
  <c r="L231" i="2" s="1"/>
  <c r="M231" i="2" s="1"/>
  <c r="J230" i="2"/>
  <c r="K230" i="2" s="1"/>
  <c r="L230" i="2" s="1"/>
  <c r="M230" i="2" s="1"/>
  <c r="J229" i="2"/>
  <c r="K229" i="2" s="1"/>
  <c r="L229" i="2" s="1"/>
  <c r="M229" i="2" s="1"/>
  <c r="L228" i="2"/>
  <c r="M228" i="2" s="1"/>
  <c r="J228" i="2"/>
  <c r="K228" i="2" s="1"/>
  <c r="J227" i="2"/>
  <c r="K227" i="2" s="1"/>
  <c r="L227" i="2" s="1"/>
  <c r="M227" i="2" s="1"/>
  <c r="J226" i="2"/>
  <c r="K226" i="2" s="1"/>
  <c r="L226" i="2" s="1"/>
  <c r="M226" i="2" s="1"/>
  <c r="K225" i="2"/>
  <c r="L225" i="2" s="1"/>
  <c r="M225" i="2" s="1"/>
  <c r="J225" i="2"/>
  <c r="J224" i="2"/>
  <c r="K224" i="2" s="1"/>
  <c r="L224" i="2" s="1"/>
  <c r="M224" i="2" s="1"/>
  <c r="L223" i="2"/>
  <c r="M223" i="2" s="1"/>
  <c r="J223" i="2"/>
  <c r="K223" i="2" s="1"/>
  <c r="J222" i="2"/>
  <c r="K222" i="2" s="1"/>
  <c r="L222" i="2" s="1"/>
  <c r="M222" i="2" s="1"/>
  <c r="J221" i="2"/>
  <c r="K221" i="2" s="1"/>
  <c r="L221" i="2" s="1"/>
  <c r="M221" i="2" s="1"/>
  <c r="K220" i="2"/>
  <c r="L220" i="2" s="1"/>
  <c r="M220" i="2" s="1"/>
  <c r="J220" i="2"/>
  <c r="K219" i="2"/>
  <c r="L219" i="2" s="1"/>
  <c r="M219" i="2" s="1"/>
  <c r="J219" i="2"/>
  <c r="M218" i="2"/>
  <c r="J218" i="2"/>
  <c r="K218" i="2" s="1"/>
  <c r="L218" i="2" s="1"/>
  <c r="J217" i="2"/>
  <c r="K217" i="2" s="1"/>
  <c r="L217" i="2" s="1"/>
  <c r="M217" i="2" s="1"/>
  <c r="J216" i="2"/>
  <c r="K216" i="2" s="1"/>
  <c r="L216" i="2" s="1"/>
  <c r="M216" i="2" s="1"/>
  <c r="J215" i="2"/>
  <c r="K215" i="2" s="1"/>
  <c r="L215" i="2" s="1"/>
  <c r="M215" i="2" s="1"/>
  <c r="J214" i="2"/>
  <c r="K214" i="2" s="1"/>
  <c r="L214" i="2" s="1"/>
  <c r="M214" i="2" s="1"/>
  <c r="J213" i="2"/>
  <c r="K213" i="2" s="1"/>
  <c r="L213" i="2" s="1"/>
  <c r="M213" i="2" s="1"/>
  <c r="J212" i="2"/>
  <c r="K212" i="2" s="1"/>
  <c r="L212" i="2" s="1"/>
  <c r="M212" i="2" s="1"/>
  <c r="J211" i="2"/>
  <c r="K211" i="2" s="1"/>
  <c r="L211" i="2" s="1"/>
  <c r="M211" i="2" s="1"/>
  <c r="L210" i="2"/>
  <c r="M210" i="2" s="1"/>
  <c r="J210" i="2"/>
  <c r="K210" i="2" s="1"/>
  <c r="K209" i="2"/>
  <c r="L209" i="2" s="1"/>
  <c r="M209" i="2" s="1"/>
  <c r="J209" i="2"/>
  <c r="K208" i="2"/>
  <c r="L208" i="2" s="1"/>
  <c r="M208" i="2" s="1"/>
  <c r="J208" i="2"/>
  <c r="J207" i="2"/>
  <c r="K207" i="2" s="1"/>
  <c r="L207" i="2" s="1"/>
  <c r="M207" i="2" s="1"/>
  <c r="J206" i="2"/>
  <c r="K206" i="2" s="1"/>
  <c r="L206" i="2" s="1"/>
  <c r="M206" i="2" s="1"/>
  <c r="L205" i="2"/>
  <c r="M205" i="2" s="1"/>
  <c r="J205" i="2"/>
  <c r="K205" i="2" s="1"/>
  <c r="J204" i="2"/>
  <c r="K204" i="2" s="1"/>
  <c r="L204" i="2" s="1"/>
  <c r="M204" i="2" s="1"/>
  <c r="K203" i="2"/>
  <c r="L203" i="2" s="1"/>
  <c r="M203" i="2" s="1"/>
  <c r="J203" i="2"/>
  <c r="L202" i="2"/>
  <c r="M202" i="2" s="1"/>
  <c r="J202" i="2"/>
  <c r="K202" i="2" s="1"/>
  <c r="J201" i="2"/>
  <c r="K201" i="2" s="1"/>
  <c r="L201" i="2" s="1"/>
  <c r="M201" i="2" s="1"/>
  <c r="J200" i="2"/>
  <c r="K200" i="2" s="1"/>
  <c r="L200" i="2" s="1"/>
  <c r="M200" i="2" s="1"/>
  <c r="J199" i="2"/>
  <c r="K199" i="2" s="1"/>
  <c r="L199" i="2" s="1"/>
  <c r="M199" i="2" s="1"/>
  <c r="J198" i="2"/>
  <c r="K198" i="2" s="1"/>
  <c r="L198" i="2" s="1"/>
  <c r="M198" i="2" s="1"/>
  <c r="J197" i="2"/>
  <c r="K197" i="2" s="1"/>
  <c r="L197" i="2" s="1"/>
  <c r="M197" i="2" s="1"/>
  <c r="L196" i="2"/>
  <c r="M196" i="2" s="1"/>
  <c r="J196" i="2"/>
  <c r="K196" i="2" s="1"/>
  <c r="J195" i="2"/>
  <c r="K195" i="2" s="1"/>
  <c r="L195" i="2" s="1"/>
  <c r="M195" i="2" s="1"/>
  <c r="J194" i="2"/>
  <c r="K194" i="2" s="1"/>
  <c r="L194" i="2" s="1"/>
  <c r="M194" i="2" s="1"/>
  <c r="J193" i="2"/>
  <c r="K193" i="2" s="1"/>
  <c r="L193" i="2" s="1"/>
  <c r="M193" i="2" s="1"/>
  <c r="J192" i="2"/>
  <c r="K192" i="2" s="1"/>
  <c r="L192" i="2" s="1"/>
  <c r="M192" i="2" s="1"/>
  <c r="K191" i="2"/>
  <c r="L191" i="2" s="1"/>
  <c r="M191" i="2" s="1"/>
  <c r="J191" i="2"/>
  <c r="J190" i="2"/>
  <c r="K190" i="2" s="1"/>
  <c r="L190" i="2" s="1"/>
  <c r="M190" i="2" s="1"/>
  <c r="J189" i="2"/>
  <c r="K189" i="2" s="1"/>
  <c r="L189" i="2" s="1"/>
  <c r="M189" i="2" s="1"/>
  <c r="J188" i="2"/>
  <c r="K188" i="2" s="1"/>
  <c r="L188" i="2" s="1"/>
  <c r="M188" i="2" s="1"/>
  <c r="J187" i="2"/>
  <c r="K187" i="2" s="1"/>
  <c r="L187" i="2" s="1"/>
  <c r="M187" i="2" s="1"/>
  <c r="J186" i="2"/>
  <c r="K186" i="2" s="1"/>
  <c r="L186" i="2" s="1"/>
  <c r="M186" i="2" s="1"/>
  <c r="K185" i="2"/>
  <c r="L185" i="2" s="1"/>
  <c r="M185" i="2" s="1"/>
  <c r="J185" i="2"/>
  <c r="L184" i="2"/>
  <c r="M184" i="2" s="1"/>
  <c r="J184" i="2"/>
  <c r="K184" i="2" s="1"/>
  <c r="J183" i="2"/>
  <c r="K183" i="2" s="1"/>
  <c r="L183" i="2" s="1"/>
  <c r="M183" i="2" s="1"/>
  <c r="J182" i="2"/>
  <c r="K182" i="2" s="1"/>
  <c r="L182" i="2" s="1"/>
  <c r="M182" i="2" s="1"/>
  <c r="J181" i="2"/>
  <c r="K181" i="2" s="1"/>
  <c r="L181" i="2" s="1"/>
  <c r="M181" i="2" s="1"/>
  <c r="J180" i="2"/>
  <c r="K180" i="2" s="1"/>
  <c r="L180" i="2" s="1"/>
  <c r="M180" i="2" s="1"/>
  <c r="K179" i="2"/>
  <c r="L179" i="2" s="1"/>
  <c r="M179" i="2" s="1"/>
  <c r="J179" i="2"/>
  <c r="L178" i="2"/>
  <c r="M178" i="2" s="1"/>
  <c r="J178" i="2"/>
  <c r="K178" i="2" s="1"/>
  <c r="J177" i="2"/>
  <c r="K177" i="2" s="1"/>
  <c r="L177" i="2" s="1"/>
  <c r="M177" i="2" s="1"/>
  <c r="K176" i="2"/>
  <c r="L176" i="2" s="1"/>
  <c r="M176" i="2" s="1"/>
  <c r="J176" i="2"/>
  <c r="J175" i="2"/>
  <c r="K175" i="2" s="1"/>
  <c r="L175" i="2" s="1"/>
  <c r="M175" i="2" s="1"/>
  <c r="J174" i="2"/>
  <c r="K174" i="2" s="1"/>
  <c r="L174" i="2" s="1"/>
  <c r="M174" i="2" s="1"/>
  <c r="K173" i="2"/>
  <c r="L173" i="2" s="1"/>
  <c r="M173" i="2" s="1"/>
  <c r="J173" i="2"/>
  <c r="L172" i="2"/>
  <c r="M172" i="2" s="1"/>
  <c r="J172" i="2"/>
  <c r="K172" i="2" s="1"/>
  <c r="J171" i="2"/>
  <c r="K171" i="2" s="1"/>
  <c r="L171" i="2" s="1"/>
  <c r="M171" i="2" s="1"/>
  <c r="J170" i="2"/>
  <c r="K170" i="2" s="1"/>
  <c r="L170" i="2" s="1"/>
  <c r="M170" i="2" s="1"/>
  <c r="L169" i="2"/>
  <c r="M169" i="2" s="1"/>
  <c r="J169" i="2"/>
  <c r="K169" i="2" s="1"/>
  <c r="J168" i="2"/>
  <c r="K168" i="2" s="1"/>
  <c r="L168" i="2" s="1"/>
  <c r="M168" i="2" s="1"/>
  <c r="K167" i="2"/>
  <c r="L167" i="2" s="1"/>
  <c r="M167" i="2" s="1"/>
  <c r="J167" i="2"/>
  <c r="L166" i="2"/>
  <c r="M166" i="2" s="1"/>
  <c r="J166" i="2"/>
  <c r="K166" i="2" s="1"/>
  <c r="J165" i="2"/>
  <c r="K165" i="2" s="1"/>
  <c r="L165" i="2" s="1"/>
  <c r="M165" i="2" s="1"/>
  <c r="J164" i="2"/>
  <c r="K164" i="2" s="1"/>
  <c r="L164" i="2" s="1"/>
  <c r="M164" i="2" s="1"/>
  <c r="J163" i="2"/>
  <c r="K163" i="2" s="1"/>
  <c r="L163" i="2" s="1"/>
  <c r="M163" i="2" s="1"/>
  <c r="J162" i="2"/>
  <c r="K162" i="2" s="1"/>
  <c r="L162" i="2" s="1"/>
  <c r="M162" i="2" s="1"/>
  <c r="J161" i="2"/>
  <c r="K161" i="2" s="1"/>
  <c r="L161" i="2" s="1"/>
  <c r="M161" i="2" s="1"/>
  <c r="L160" i="2"/>
  <c r="M160" i="2" s="1"/>
  <c r="J160" i="2"/>
  <c r="K160" i="2" s="1"/>
  <c r="J159" i="2"/>
  <c r="K159" i="2" s="1"/>
  <c r="L159" i="2" s="1"/>
  <c r="M159" i="2" s="1"/>
  <c r="J158" i="2"/>
  <c r="K158" i="2" s="1"/>
  <c r="L158" i="2" s="1"/>
  <c r="M158" i="2" s="1"/>
  <c r="J157" i="2"/>
  <c r="K157" i="2" s="1"/>
  <c r="L157" i="2" s="1"/>
  <c r="M157" i="2" s="1"/>
  <c r="J156" i="2"/>
  <c r="K156" i="2" s="1"/>
  <c r="L156" i="2" s="1"/>
  <c r="M156" i="2" s="1"/>
  <c r="K155" i="2"/>
  <c r="L155" i="2" s="1"/>
  <c r="M155" i="2" s="1"/>
  <c r="J155" i="2"/>
  <c r="J154" i="2"/>
  <c r="K154" i="2" s="1"/>
  <c r="L154" i="2" s="1"/>
  <c r="M154" i="2" s="1"/>
  <c r="J153" i="2"/>
  <c r="K153" i="2" s="1"/>
  <c r="L153" i="2" s="1"/>
  <c r="M153" i="2" s="1"/>
  <c r="J152" i="2"/>
  <c r="K152" i="2" s="1"/>
  <c r="L152" i="2" s="1"/>
  <c r="M152" i="2" s="1"/>
  <c r="J151" i="2"/>
  <c r="K151" i="2" s="1"/>
  <c r="L151" i="2" s="1"/>
  <c r="M151" i="2" s="1"/>
  <c r="J150" i="2"/>
  <c r="K150" i="2" s="1"/>
  <c r="L150" i="2" s="1"/>
  <c r="M150" i="2" s="1"/>
  <c r="K149" i="2"/>
  <c r="L149" i="2" s="1"/>
  <c r="M149" i="2" s="1"/>
  <c r="J149" i="2"/>
  <c r="L148" i="2"/>
  <c r="M148" i="2" s="1"/>
  <c r="J148" i="2"/>
  <c r="K148" i="2" s="1"/>
  <c r="J147" i="2"/>
  <c r="K147" i="2" s="1"/>
  <c r="L147" i="2" s="1"/>
  <c r="M147" i="2" s="1"/>
  <c r="J146" i="2"/>
  <c r="K146" i="2" s="1"/>
  <c r="L146" i="2" s="1"/>
  <c r="M146" i="2" s="1"/>
  <c r="J145" i="2"/>
  <c r="K145" i="2" s="1"/>
  <c r="L145" i="2" s="1"/>
  <c r="M145" i="2" s="1"/>
  <c r="J144" i="2"/>
  <c r="K144" i="2" s="1"/>
  <c r="L144" i="2" s="1"/>
  <c r="M144" i="2" s="1"/>
  <c r="K143" i="2"/>
  <c r="L143" i="2" s="1"/>
  <c r="M143" i="2" s="1"/>
  <c r="J143" i="2"/>
  <c r="L142" i="2"/>
  <c r="M142" i="2" s="1"/>
  <c r="J142" i="2"/>
  <c r="K142" i="2" s="1"/>
  <c r="K141" i="2"/>
  <c r="L141" i="2" s="1"/>
  <c r="M141" i="2" s="1"/>
  <c r="J141" i="2"/>
  <c r="J140" i="2"/>
  <c r="K140" i="2" s="1"/>
  <c r="L140" i="2" s="1"/>
  <c r="M140" i="2" s="1"/>
  <c r="J139" i="2"/>
  <c r="K139" i="2" s="1"/>
  <c r="L139" i="2" s="1"/>
  <c r="M139" i="2" s="1"/>
  <c r="J138" i="2"/>
  <c r="K138" i="2" s="1"/>
  <c r="L138" i="2" s="1"/>
  <c r="M138" i="2" s="1"/>
  <c r="J137" i="2"/>
  <c r="K137" i="2" s="1"/>
  <c r="L137" i="2" s="1"/>
  <c r="M137" i="2" s="1"/>
  <c r="J136" i="2"/>
  <c r="K136" i="2" s="1"/>
  <c r="L136" i="2" s="1"/>
  <c r="M136" i="2" s="1"/>
  <c r="J135" i="2"/>
  <c r="K135" i="2" s="1"/>
  <c r="L135" i="2" s="1"/>
  <c r="M135" i="2" s="1"/>
  <c r="J134" i="2"/>
  <c r="K134" i="2" s="1"/>
  <c r="L134" i="2" s="1"/>
  <c r="M134" i="2" s="1"/>
  <c r="J133" i="2"/>
  <c r="K133" i="2" s="1"/>
  <c r="L133" i="2" s="1"/>
  <c r="M133" i="2" s="1"/>
  <c r="J132" i="2"/>
  <c r="K132" i="2" s="1"/>
  <c r="L132" i="2" s="1"/>
  <c r="M132" i="2" s="1"/>
  <c r="J131" i="2"/>
  <c r="K131" i="2" s="1"/>
  <c r="L131" i="2" s="1"/>
  <c r="M131" i="2" s="1"/>
  <c r="L130" i="2"/>
  <c r="M130" i="2" s="1"/>
  <c r="J130" i="2"/>
  <c r="K130" i="2" s="1"/>
  <c r="K129" i="2"/>
  <c r="L129" i="2" s="1"/>
  <c r="M129" i="2" s="1"/>
  <c r="J129" i="2"/>
  <c r="J128" i="2"/>
  <c r="K128" i="2" s="1"/>
  <c r="L128" i="2" s="1"/>
  <c r="M128" i="2" s="1"/>
  <c r="J127" i="2"/>
  <c r="K127" i="2" s="1"/>
  <c r="L127" i="2" s="1"/>
  <c r="M127" i="2" s="1"/>
  <c r="J126" i="2"/>
  <c r="K126" i="2" s="1"/>
  <c r="L126" i="2" s="1"/>
  <c r="M126" i="2" s="1"/>
  <c r="J125" i="2"/>
  <c r="K125" i="2" s="1"/>
  <c r="L125" i="2" s="1"/>
  <c r="M125" i="2" s="1"/>
  <c r="L124" i="2"/>
  <c r="M124" i="2" s="1"/>
  <c r="J124" i="2"/>
  <c r="K124" i="2" s="1"/>
  <c r="J123" i="2"/>
  <c r="K123" i="2" s="1"/>
  <c r="L123" i="2" s="1"/>
  <c r="M123" i="2" s="1"/>
  <c r="J122" i="2"/>
  <c r="K122" i="2" s="1"/>
  <c r="L122" i="2" s="1"/>
  <c r="M122" i="2" s="1"/>
  <c r="J121" i="2"/>
  <c r="K121" i="2" s="1"/>
  <c r="L121" i="2" s="1"/>
  <c r="M121" i="2" s="1"/>
  <c r="J120" i="2"/>
  <c r="K120" i="2" s="1"/>
  <c r="L120" i="2" s="1"/>
  <c r="M120" i="2" s="1"/>
  <c r="K119" i="2"/>
  <c r="L119" i="2" s="1"/>
  <c r="M119" i="2" s="1"/>
  <c r="J119" i="2"/>
  <c r="L118" i="2"/>
  <c r="M118" i="2" s="1"/>
  <c r="J118" i="2"/>
  <c r="K118" i="2" s="1"/>
  <c r="K117" i="2"/>
  <c r="L117" i="2" s="1"/>
  <c r="M117" i="2" s="1"/>
  <c r="J117" i="2"/>
  <c r="J116" i="2"/>
  <c r="K116" i="2" s="1"/>
  <c r="L116" i="2" s="1"/>
  <c r="M116" i="2" s="1"/>
  <c r="J115" i="2"/>
  <c r="K115" i="2" s="1"/>
  <c r="L115" i="2" s="1"/>
  <c r="M115" i="2" s="1"/>
  <c r="J114" i="2"/>
  <c r="K114" i="2" s="1"/>
  <c r="L114" i="2" s="1"/>
  <c r="M114" i="2" s="1"/>
  <c r="J113" i="2"/>
  <c r="K113" i="2" s="1"/>
  <c r="L113" i="2" s="1"/>
  <c r="M113" i="2" s="1"/>
  <c r="J112" i="2"/>
  <c r="K112" i="2" s="1"/>
  <c r="L112" i="2" s="1"/>
  <c r="M112" i="2" s="1"/>
  <c r="J111" i="2"/>
  <c r="K111" i="2" s="1"/>
  <c r="L111" i="2" s="1"/>
  <c r="M111" i="2" s="1"/>
  <c r="J110" i="2"/>
  <c r="K110" i="2" s="1"/>
  <c r="L110" i="2" s="1"/>
  <c r="M110" i="2" s="1"/>
  <c r="J109" i="2"/>
  <c r="K109" i="2" s="1"/>
  <c r="L109" i="2" s="1"/>
  <c r="M109" i="2" s="1"/>
  <c r="J108" i="2"/>
  <c r="K108" i="2" s="1"/>
  <c r="L108" i="2" s="1"/>
  <c r="M108" i="2" s="1"/>
  <c r="J107" i="2"/>
  <c r="K107" i="2" s="1"/>
  <c r="L107" i="2" s="1"/>
  <c r="M107" i="2" s="1"/>
  <c r="L106" i="2"/>
  <c r="M106" i="2" s="1"/>
  <c r="J106" i="2"/>
  <c r="K106" i="2" s="1"/>
  <c r="K105" i="2"/>
  <c r="L105" i="2" s="1"/>
  <c r="M105" i="2" s="1"/>
  <c r="J105" i="2"/>
  <c r="J104" i="2"/>
  <c r="K104" i="2" s="1"/>
  <c r="L104" i="2" s="1"/>
  <c r="M104" i="2" s="1"/>
  <c r="J103" i="2"/>
  <c r="K103" i="2" s="1"/>
  <c r="L103" i="2" s="1"/>
  <c r="M103" i="2" s="1"/>
  <c r="J102" i="2"/>
  <c r="K102" i="2" s="1"/>
  <c r="L102" i="2" s="1"/>
  <c r="M102" i="2" s="1"/>
  <c r="J101" i="2"/>
  <c r="K101" i="2" s="1"/>
  <c r="L101" i="2" s="1"/>
  <c r="M101" i="2" s="1"/>
  <c r="L100" i="2"/>
  <c r="M100" i="2" s="1"/>
  <c r="J100" i="2"/>
  <c r="K100" i="2" s="1"/>
  <c r="J99" i="2"/>
  <c r="K99" i="2" s="1"/>
  <c r="L99" i="2" s="1"/>
  <c r="M99" i="2" s="1"/>
  <c r="J98" i="2"/>
  <c r="K98" i="2" s="1"/>
  <c r="L98" i="2" s="1"/>
  <c r="M98" i="2" s="1"/>
  <c r="J97" i="2"/>
  <c r="K97" i="2" s="1"/>
  <c r="L97" i="2" s="1"/>
  <c r="M97" i="2" s="1"/>
  <c r="J96" i="2"/>
  <c r="K96" i="2" s="1"/>
  <c r="L96" i="2" s="1"/>
  <c r="M96" i="2" s="1"/>
  <c r="K95" i="2"/>
  <c r="L95" i="2" s="1"/>
  <c r="M95" i="2" s="1"/>
  <c r="J95" i="2"/>
  <c r="L94" i="2"/>
  <c r="M94" i="2" s="1"/>
  <c r="J94" i="2"/>
  <c r="K94" i="2" s="1"/>
  <c r="K93" i="2"/>
  <c r="L93" i="2" s="1"/>
  <c r="M93" i="2" s="1"/>
  <c r="J93" i="2"/>
  <c r="J92" i="2"/>
  <c r="K92" i="2" s="1"/>
  <c r="L92" i="2" s="1"/>
  <c r="M92" i="2" s="1"/>
  <c r="J91" i="2"/>
  <c r="K91" i="2" s="1"/>
  <c r="L91" i="2" s="1"/>
  <c r="M91" i="2" s="1"/>
  <c r="J90" i="2"/>
  <c r="K90" i="2" s="1"/>
  <c r="L90" i="2" s="1"/>
  <c r="M90" i="2" s="1"/>
  <c r="J89" i="2"/>
  <c r="K89" i="2" s="1"/>
  <c r="L89" i="2" s="1"/>
  <c r="M89" i="2" s="1"/>
  <c r="J88" i="2"/>
  <c r="K88" i="2" s="1"/>
  <c r="L88" i="2" s="1"/>
  <c r="M88" i="2" s="1"/>
  <c r="J87" i="2"/>
  <c r="K87" i="2" s="1"/>
  <c r="L87" i="2" s="1"/>
  <c r="M87" i="2" s="1"/>
  <c r="J86" i="2"/>
  <c r="K86" i="2" s="1"/>
  <c r="L86" i="2" s="1"/>
  <c r="M86" i="2" s="1"/>
  <c r="J85" i="2"/>
  <c r="K85" i="2" s="1"/>
  <c r="L85" i="2" s="1"/>
  <c r="M85" i="2" s="1"/>
  <c r="J84" i="2"/>
  <c r="K84" i="2" s="1"/>
  <c r="L84" i="2" s="1"/>
  <c r="M84" i="2" s="1"/>
  <c r="J83" i="2"/>
  <c r="K83" i="2" s="1"/>
  <c r="L83" i="2" s="1"/>
  <c r="M83" i="2" s="1"/>
  <c r="L82" i="2"/>
  <c r="M82" i="2" s="1"/>
  <c r="J82" i="2"/>
  <c r="K82" i="2" s="1"/>
  <c r="K81" i="2"/>
  <c r="L81" i="2" s="1"/>
  <c r="M81" i="2" s="1"/>
  <c r="J81" i="2"/>
  <c r="J80" i="2"/>
  <c r="K80" i="2" s="1"/>
  <c r="L80" i="2" s="1"/>
  <c r="M80" i="2" s="1"/>
  <c r="J79" i="2"/>
  <c r="K79" i="2" s="1"/>
  <c r="L79" i="2" s="1"/>
  <c r="M79" i="2" s="1"/>
  <c r="J78" i="2"/>
  <c r="K78" i="2" s="1"/>
  <c r="L78" i="2" s="1"/>
  <c r="M78" i="2" s="1"/>
  <c r="J77" i="2"/>
  <c r="K77" i="2" s="1"/>
  <c r="L77" i="2" s="1"/>
  <c r="M77" i="2" s="1"/>
  <c r="L76" i="2"/>
  <c r="M76" i="2" s="1"/>
  <c r="J76" i="2"/>
  <c r="K76" i="2" s="1"/>
  <c r="J75" i="2"/>
  <c r="K75" i="2" s="1"/>
  <c r="L75" i="2" s="1"/>
  <c r="M75" i="2" s="1"/>
  <c r="J74" i="2"/>
  <c r="K74" i="2" s="1"/>
  <c r="L74" i="2" s="1"/>
  <c r="M74" i="2" s="1"/>
  <c r="J73" i="2"/>
  <c r="K73" i="2" s="1"/>
  <c r="L73" i="2" s="1"/>
  <c r="M73" i="2" s="1"/>
  <c r="J72" i="2"/>
  <c r="K72" i="2" s="1"/>
  <c r="L72" i="2" s="1"/>
  <c r="M72" i="2" s="1"/>
  <c r="K71" i="2"/>
  <c r="L71" i="2" s="1"/>
  <c r="M71" i="2" s="1"/>
  <c r="J71" i="2"/>
  <c r="L70" i="2"/>
  <c r="M70" i="2" s="1"/>
  <c r="J70" i="2"/>
  <c r="K70" i="2" s="1"/>
  <c r="K69" i="2"/>
  <c r="L69" i="2" s="1"/>
  <c r="M69" i="2" s="1"/>
  <c r="J69" i="2"/>
  <c r="J68" i="2"/>
  <c r="K68" i="2" s="1"/>
  <c r="L68" i="2" s="1"/>
  <c r="M68" i="2" s="1"/>
  <c r="J67" i="2"/>
  <c r="K67" i="2" s="1"/>
  <c r="L67" i="2" s="1"/>
  <c r="M67" i="2" s="1"/>
  <c r="J66" i="2"/>
  <c r="K66" i="2" s="1"/>
  <c r="L66" i="2" s="1"/>
  <c r="M66" i="2" s="1"/>
  <c r="J65" i="2"/>
  <c r="K65" i="2" s="1"/>
  <c r="L65" i="2" s="1"/>
  <c r="M65" i="2" s="1"/>
  <c r="J64" i="2"/>
  <c r="K64" i="2" s="1"/>
  <c r="L64" i="2" s="1"/>
  <c r="M64" i="2" s="1"/>
  <c r="J63" i="2"/>
  <c r="K63" i="2" s="1"/>
  <c r="L63" i="2" s="1"/>
  <c r="M63" i="2" s="1"/>
  <c r="J62" i="2"/>
  <c r="K62" i="2" s="1"/>
  <c r="L62" i="2" s="1"/>
  <c r="M62" i="2" s="1"/>
  <c r="J61" i="2"/>
  <c r="K61" i="2" s="1"/>
  <c r="L61" i="2" s="1"/>
  <c r="M61" i="2" s="1"/>
  <c r="J60" i="2"/>
  <c r="K60" i="2" s="1"/>
  <c r="L60" i="2" s="1"/>
  <c r="M60" i="2" s="1"/>
  <c r="J59" i="2"/>
  <c r="K59" i="2" s="1"/>
  <c r="L59" i="2" s="1"/>
  <c r="M59" i="2" s="1"/>
  <c r="L58" i="2"/>
  <c r="M58" i="2" s="1"/>
  <c r="J58" i="2"/>
  <c r="K58" i="2" s="1"/>
  <c r="K57" i="2"/>
  <c r="L57" i="2" s="1"/>
  <c r="M57" i="2" s="1"/>
  <c r="J57" i="2"/>
  <c r="J56" i="2"/>
  <c r="K56" i="2" s="1"/>
  <c r="L56" i="2" s="1"/>
  <c r="M56" i="2" s="1"/>
  <c r="J55" i="2"/>
  <c r="K55" i="2" s="1"/>
  <c r="L55" i="2" s="1"/>
  <c r="M55" i="2" s="1"/>
  <c r="J54" i="2"/>
  <c r="K54" i="2" s="1"/>
  <c r="L54" i="2" s="1"/>
  <c r="M54" i="2" s="1"/>
  <c r="J53" i="2"/>
  <c r="K53" i="2" s="1"/>
  <c r="L53" i="2" s="1"/>
  <c r="M53" i="2" s="1"/>
  <c r="J52" i="2"/>
  <c r="K52" i="2" s="1"/>
  <c r="L52" i="2" s="1"/>
  <c r="M52" i="2" s="1"/>
  <c r="J51" i="2"/>
  <c r="K51" i="2" s="1"/>
  <c r="L51" i="2" s="1"/>
  <c r="M51" i="2" s="1"/>
  <c r="J50" i="2"/>
  <c r="K50" i="2" s="1"/>
  <c r="L50" i="2" s="1"/>
  <c r="M50" i="2" s="1"/>
  <c r="J49" i="2"/>
  <c r="K49" i="2" s="1"/>
  <c r="L49" i="2" s="1"/>
  <c r="M49" i="2" s="1"/>
  <c r="J48" i="2"/>
  <c r="K48" i="2" s="1"/>
  <c r="L48" i="2" s="1"/>
  <c r="M48" i="2" s="1"/>
  <c r="J47" i="2"/>
  <c r="K47" i="2" s="1"/>
  <c r="L47" i="2" s="1"/>
  <c r="M47" i="2" s="1"/>
  <c r="J46" i="2"/>
  <c r="K46" i="2" s="1"/>
  <c r="L46" i="2" s="1"/>
  <c r="M46" i="2" s="1"/>
  <c r="J45" i="2"/>
  <c r="K45" i="2" s="1"/>
  <c r="L45" i="2" s="1"/>
  <c r="M45" i="2" s="1"/>
  <c r="J44" i="2"/>
  <c r="K44" i="2" s="1"/>
  <c r="L44" i="2" s="1"/>
  <c r="M44" i="2" s="1"/>
  <c r="J43" i="2"/>
  <c r="K43" i="2" s="1"/>
  <c r="L43" i="2" s="1"/>
  <c r="M43" i="2" s="1"/>
  <c r="J42" i="2"/>
  <c r="K42" i="2" s="1"/>
  <c r="L42" i="2" s="1"/>
  <c r="M42" i="2" s="1"/>
  <c r="K41" i="2"/>
  <c r="L41" i="2" s="1"/>
  <c r="M41" i="2" s="1"/>
  <c r="J41" i="2"/>
  <c r="J40" i="2"/>
  <c r="K40" i="2" s="1"/>
  <c r="L40" i="2" s="1"/>
  <c r="M40" i="2" s="1"/>
  <c r="J39" i="2"/>
  <c r="K39" i="2" s="1"/>
  <c r="L39" i="2" s="1"/>
  <c r="M39" i="2" s="1"/>
  <c r="J38" i="2"/>
  <c r="K38" i="2" s="1"/>
  <c r="L38" i="2" s="1"/>
  <c r="M38" i="2" s="1"/>
  <c r="K37" i="2"/>
  <c r="L37" i="2" s="1"/>
  <c r="M37" i="2" s="1"/>
  <c r="J37" i="2"/>
  <c r="K36" i="2"/>
  <c r="L36" i="2" s="1"/>
  <c r="M36" i="2" s="1"/>
  <c r="J36" i="2"/>
  <c r="K35" i="2"/>
  <c r="L35" i="2" s="1"/>
  <c r="M35" i="2" s="1"/>
  <c r="J35" i="2"/>
  <c r="J34" i="2"/>
  <c r="K34" i="2" s="1"/>
  <c r="L34" i="2" s="1"/>
  <c r="M34" i="2" s="1"/>
  <c r="J33" i="2"/>
  <c r="K33" i="2" s="1"/>
  <c r="L33" i="2" s="1"/>
  <c r="M33" i="2" s="1"/>
  <c r="J32" i="2"/>
  <c r="K32" i="2" s="1"/>
  <c r="L32" i="2" s="1"/>
  <c r="M32" i="2" s="1"/>
  <c r="J31" i="2"/>
  <c r="K31" i="2" s="1"/>
  <c r="L31" i="2" s="1"/>
  <c r="M31" i="2" s="1"/>
  <c r="J30" i="2"/>
  <c r="K30" i="2" s="1"/>
  <c r="L30" i="2" s="1"/>
  <c r="M30" i="2" s="1"/>
  <c r="J29" i="2"/>
  <c r="K29" i="2" s="1"/>
  <c r="L29" i="2" s="1"/>
  <c r="M29" i="2" s="1"/>
  <c r="J28" i="2"/>
  <c r="K28" i="2" s="1"/>
  <c r="L28" i="2" s="1"/>
  <c r="M28" i="2" s="1"/>
  <c r="J27" i="2"/>
  <c r="K27" i="2" s="1"/>
  <c r="L27" i="2" s="1"/>
  <c r="M27" i="2" s="1"/>
  <c r="J26" i="2"/>
  <c r="K26" i="2" s="1"/>
  <c r="L26" i="2" s="1"/>
  <c r="M26" i="2" s="1"/>
  <c r="K25" i="2"/>
  <c r="L25" i="2" s="1"/>
  <c r="M25" i="2" s="1"/>
  <c r="J25" i="2"/>
  <c r="J24" i="2"/>
  <c r="K24" i="2" s="1"/>
  <c r="L24" i="2" s="1"/>
  <c r="M24" i="2" s="1"/>
  <c r="K23" i="2"/>
  <c r="L23" i="2" s="1"/>
  <c r="M23" i="2" s="1"/>
  <c r="J23" i="2"/>
  <c r="J22" i="2"/>
  <c r="K22" i="2" s="1"/>
  <c r="L22" i="2" s="1"/>
  <c r="M22" i="2" s="1"/>
  <c r="J21" i="2"/>
  <c r="K21" i="2" s="1"/>
  <c r="L21" i="2" s="1"/>
  <c r="M21" i="2" s="1"/>
  <c r="J20" i="2"/>
  <c r="K20" i="2" s="1"/>
  <c r="L20" i="2" s="1"/>
  <c r="M20" i="2" s="1"/>
  <c r="J19" i="2"/>
  <c r="K19" i="2" s="1"/>
  <c r="L19" i="2" s="1"/>
  <c r="M19" i="2" s="1"/>
  <c r="J18" i="2"/>
  <c r="K18" i="2" s="1"/>
  <c r="L18" i="2" s="1"/>
  <c r="M18" i="2" s="1"/>
  <c r="K17" i="2"/>
  <c r="L17" i="2" s="1"/>
  <c r="M17" i="2" s="1"/>
  <c r="J17" i="2"/>
  <c r="J16" i="2"/>
  <c r="K16" i="2" s="1"/>
  <c r="L16" i="2" s="1"/>
  <c r="M16" i="2" s="1"/>
  <c r="J15" i="2"/>
  <c r="K15" i="2" s="1"/>
  <c r="L15" i="2" s="1"/>
  <c r="M15" i="2" s="1"/>
  <c r="J14" i="2"/>
  <c r="K14" i="2" s="1"/>
  <c r="L14" i="2" s="1"/>
  <c r="M14" i="2" s="1"/>
  <c r="K13" i="2"/>
  <c r="L13" i="2" s="1"/>
  <c r="M13" i="2" s="1"/>
  <c r="J13" i="2"/>
  <c r="K12" i="2"/>
  <c r="L12" i="2" s="1"/>
  <c r="M12" i="2" s="1"/>
  <c r="J12" i="2"/>
  <c r="K11" i="2"/>
  <c r="L11" i="2" s="1"/>
  <c r="M11" i="2" s="1"/>
  <c r="J11" i="2"/>
  <c r="J10" i="2"/>
  <c r="K10" i="2" s="1"/>
  <c r="L10" i="2" s="1"/>
  <c r="M10" i="2" s="1"/>
  <c r="J9" i="2"/>
  <c r="K9" i="2" s="1"/>
  <c r="L9" i="2" s="1"/>
  <c r="M9" i="2" s="1"/>
  <c r="J8" i="2"/>
  <c r="K8" i="2" s="1"/>
  <c r="L8" i="2" s="1"/>
  <c r="M8" i="2" s="1"/>
  <c r="J7" i="2"/>
  <c r="K7" i="2" s="1"/>
  <c r="L7" i="2" s="1"/>
  <c r="M7" i="2" s="1"/>
  <c r="J6" i="2"/>
  <c r="K6" i="2" s="1"/>
  <c r="L6" i="2" s="1"/>
  <c r="M6" i="2" s="1"/>
  <c r="J5" i="2"/>
  <c r="K5" i="2" s="1"/>
  <c r="L5" i="2" s="1"/>
  <c r="M5" i="2" s="1"/>
  <c r="J4" i="2"/>
  <c r="K4" i="2" s="1"/>
  <c r="L4" i="2" s="1"/>
  <c r="M4" i="2" s="1"/>
  <c r="J3" i="2"/>
  <c r="K3" i="2" s="1"/>
  <c r="L3" i="2" s="1"/>
  <c r="M3" i="2" s="1"/>
  <c r="J2" i="2"/>
  <c r="K2" i="2" s="1"/>
  <c r="L2" i="2" s="1"/>
  <c r="M2" i="2" s="1"/>
  <c r="H7" i="1"/>
  <c r="E7" i="1"/>
  <c r="C7" i="1"/>
  <c r="A7" i="1"/>
  <c r="C195" i="1" l="1"/>
  <c r="C199" i="1"/>
  <c r="D195" i="1"/>
  <c r="D19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C363E-6F52-4077-8F7A-70A486E4620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D74F58-5157-4E28-9AA3-F8FA31DA047C}" name="WorksheetConnection_Libro1!Datos" type="102" refreshedVersion="8" minRefreshableVersion="5">
    <extLst>
      <ext xmlns:x15="http://schemas.microsoft.com/office/spreadsheetml/2010/11/main" uri="{DE250136-89BD-433C-8126-D09CA5730AF9}">
        <x15:connection id="Datos" autoDelete="1">
          <x15:rangePr sourceName="_xlcn.WorksheetConnection_Libro1Datos1"/>
        </x15:connection>
      </ext>
    </extLst>
  </connection>
  <connection id="3" xr16:uid="{C38F2E63-695E-4E40-837B-2521F15AA603}" name="WorksheetConnection_Libro1!tablaDatos" type="102" refreshedVersion="8" minRefreshableVersion="5">
    <extLst>
      <ext xmlns:x15="http://schemas.microsoft.com/office/spreadsheetml/2010/11/main" uri="{DE250136-89BD-433C-8126-D09CA5730AF9}">
        <x15:connection id="tablaDatos" autoDelete="1">
          <x15:rangePr sourceName="_xlcn.WorksheetConnection_Libro1tablaDato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Datos].[Estado].&amp;[Aprobado]}"/>
    <s v="{[Datos].[Estado].&amp;[Desaprobado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<sst xmlns="http://schemas.openxmlformats.org/spreadsheetml/2006/main" count="2953" uniqueCount="116">
  <si>
    <t># de Orden</t>
  </si>
  <si>
    <t>Periodo</t>
  </si>
  <si>
    <t>Apellidos y Nombres</t>
  </si>
  <si>
    <t>Cursos</t>
  </si>
  <si>
    <t>Nota 1</t>
  </si>
  <si>
    <t>Nota 2</t>
  </si>
  <si>
    <t>Nota 3</t>
  </si>
  <si>
    <t>Nota 4</t>
  </si>
  <si>
    <t>Trabajos</t>
  </si>
  <si>
    <t>Promedio Final</t>
  </si>
  <si>
    <t>Redondear</t>
  </si>
  <si>
    <t>Nota</t>
  </si>
  <si>
    <t>Estado</t>
  </si>
  <si>
    <t>%Asistencia</t>
  </si>
  <si>
    <t>E1</t>
  </si>
  <si>
    <t>Tri -  1</t>
  </si>
  <si>
    <t>RODRIGUEZ RAMIREZ, María Diana</t>
  </si>
  <si>
    <t>Matemática</t>
  </si>
  <si>
    <t>Nota en Letras</t>
  </si>
  <si>
    <t>E2</t>
  </si>
  <si>
    <t>VARGAS SILVA, José Marco</t>
  </si>
  <si>
    <t>AD</t>
  </si>
  <si>
    <t>E3</t>
  </si>
  <si>
    <t>YUPANQUI DE LA TORRE, Luis Edwin</t>
  </si>
  <si>
    <t>A</t>
  </si>
  <si>
    <t>E4</t>
  </si>
  <si>
    <t>GARCIA SEMINARIO, Juan Javier</t>
  </si>
  <si>
    <t>B</t>
  </si>
  <si>
    <t>E5</t>
  </si>
  <si>
    <t>TORRES CASTILLO, Carlos Walter</t>
  </si>
  <si>
    <t>C</t>
  </si>
  <si>
    <t>E6</t>
  </si>
  <si>
    <t>SALAZAR GUTIERREZ, Rosa Milagros</t>
  </si>
  <si>
    <t>E7</t>
  </si>
  <si>
    <t>FLORES GONZALEZ, Jorge Fernando</t>
  </si>
  <si>
    <t>E8</t>
  </si>
  <si>
    <t>ROJAS CACERES, Víctor Alejandro</t>
  </si>
  <si>
    <t>E9</t>
  </si>
  <si>
    <t>CORNEJO MALDONADO, Ana Francisca</t>
  </si>
  <si>
    <t>E10</t>
  </si>
  <si>
    <t>DELGADO ZEGARRA, Luz Alexia</t>
  </si>
  <si>
    <t>E11</t>
  </si>
  <si>
    <t>BENAVIDES RAMOS, Carmen Camila</t>
  </si>
  <si>
    <t>E12</t>
  </si>
  <si>
    <t>PACHECO FERNANDEZ, César Jesús</t>
  </si>
  <si>
    <t>E13</t>
  </si>
  <si>
    <t>DEL CAMPO HURTADO, Miguel Julio</t>
  </si>
  <si>
    <t>E14</t>
  </si>
  <si>
    <t>RIVERA SOTO, Jesús Pedro</t>
  </si>
  <si>
    <t>E15</t>
  </si>
  <si>
    <t>ROMERO NIETO, Julio Manuel</t>
  </si>
  <si>
    <t>E16</t>
  </si>
  <si>
    <t>CHAVEZ RIVERO, Pedro Juan</t>
  </si>
  <si>
    <t>E17</t>
  </si>
  <si>
    <t>CASTRO LLOSA, Manuel Santos</t>
  </si>
  <si>
    <t>E18</t>
  </si>
  <si>
    <t>BUSTAMANTE LOPEZ, Juana Rosa</t>
  </si>
  <si>
    <t>E19</t>
  </si>
  <si>
    <t>ESPINOZA SALAS, Santos Ángel</t>
  </si>
  <si>
    <t>E20</t>
  </si>
  <si>
    <t>HERRERA MARTINEZ, Jhon David</t>
  </si>
  <si>
    <t>E21</t>
  </si>
  <si>
    <t>DIAZ PAREDES, Ángel Segundo</t>
  </si>
  <si>
    <t>E22</t>
  </si>
  <si>
    <t>RUIZ VALENCIA, David Diego</t>
  </si>
  <si>
    <t>E23</t>
  </si>
  <si>
    <t>MENDOZA DE LA FUENTE, Segundo</t>
  </si>
  <si>
    <t>E24</t>
  </si>
  <si>
    <t>SANCHEZ LEON, Diego Daniel</t>
  </si>
  <si>
    <t>E25</t>
  </si>
  <si>
    <t>LARCO GOMEZ, Flor Ariana</t>
  </si>
  <si>
    <t>E26</t>
  </si>
  <si>
    <t>MORALES ALVAREZ, Daniel Víctor</t>
  </si>
  <si>
    <t>E27</t>
  </si>
  <si>
    <t>GONZALES PIZARRO, Julia Ana</t>
  </si>
  <si>
    <t>E28</t>
  </si>
  <si>
    <t>VALDIVIA ALVARADO, Elizabeth Luz</t>
  </si>
  <si>
    <t>E29</t>
  </si>
  <si>
    <t>PEREZ VASQUEZ, Ruth Camila</t>
  </si>
  <si>
    <t>Comunicación</t>
  </si>
  <si>
    <t>Religión</t>
  </si>
  <si>
    <t>Física</t>
  </si>
  <si>
    <t>Estadística</t>
  </si>
  <si>
    <t>Inglés</t>
  </si>
  <si>
    <t>Tri -  2</t>
  </si>
  <si>
    <t>Tri -  3</t>
  </si>
  <si>
    <t>Tri -  4</t>
  </si>
  <si>
    <t>Total de estudiantes</t>
  </si>
  <si>
    <t>Etiquetas de fila</t>
  </si>
  <si>
    <t>Total general</t>
  </si>
  <si>
    <t>Recuento de Apellidos y Nombres</t>
  </si>
  <si>
    <t>Recuento distinto de Apellidos y Nombres</t>
  </si>
  <si>
    <t>Promedio de %Asistencia</t>
  </si>
  <si>
    <t>% de Asistencia</t>
  </si>
  <si>
    <t>Estudiantes Aprobados</t>
  </si>
  <si>
    <t>Aprobado</t>
  </si>
  <si>
    <t>Desaprobado</t>
  </si>
  <si>
    <t>Recuento de Estado</t>
  </si>
  <si>
    <t>Estudiantes Desaprobados</t>
  </si>
  <si>
    <t>Notas de estudiantes</t>
  </si>
  <si>
    <t>Promedio de Asistecia por curso</t>
  </si>
  <si>
    <t>Cursos con mas desaprobados</t>
  </si>
  <si>
    <t>Notas por trmistre</t>
  </si>
  <si>
    <t>Etiquetas de columna</t>
  </si>
  <si>
    <t>Recuento de Nota</t>
  </si>
  <si>
    <t>Promedio de Asistencia por Trimestre</t>
  </si>
  <si>
    <t>Nombres de estudiantes</t>
  </si>
  <si>
    <t>Progreso</t>
  </si>
  <si>
    <t>Recuento distinto de Cursos</t>
  </si>
  <si>
    <t>Cursos Aprobados</t>
  </si>
  <si>
    <t>Promedio de Promedio Final</t>
  </si>
  <si>
    <t>Cursos aprobados</t>
  </si>
  <si>
    <t>Cursos desaprobados</t>
  </si>
  <si>
    <t>Rendimiento en%:</t>
  </si>
  <si>
    <t>Asistencia por Curso</t>
  </si>
  <si>
    <t>Cursos con mas aprobados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</si>
</sst>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517C3A"/>
      <name val="Aptos Narrow"/>
      <family val="2"/>
      <scheme val="minor"/>
    </font>
    <font>
      <sz val="11"/>
      <color rgb="FF517C3A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648B45"/>
        <bgColor indexed="64"/>
      </patternFill>
    </fill>
    <fill>
      <patternFill patternType="solid">
        <fgColor rgb="FF7E9F55"/>
        <bgColor indexed="64"/>
      </patternFill>
    </fill>
    <fill>
      <patternFill patternType="solid">
        <fgColor rgb="FF396E2B"/>
        <bgColor indexed="64"/>
      </patternFill>
    </fill>
    <fill>
      <patternFill patternType="solid">
        <fgColor rgb="FF577B43"/>
        <bgColor indexed="64"/>
      </patternFill>
    </fill>
    <fill>
      <patternFill patternType="solid">
        <fgColor rgb="FFD8E091"/>
        <bgColor indexed="64"/>
      </patternFill>
    </fill>
    <fill>
      <patternFill patternType="solid">
        <fgColor rgb="FF517C3A"/>
        <bgColor indexed="64"/>
      </patternFill>
    </fill>
    <fill>
      <patternFill patternType="solid">
        <fgColor rgb="FF5D8742"/>
        <bgColor indexed="64"/>
      </patternFill>
    </fill>
    <fill>
      <patternFill patternType="solid">
        <fgColor rgb="FFB2C8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10" fontId="0" fillId="0" borderId="0" xfId="0" pivotButton="1" applyNumberFormat="1"/>
    <xf numFmtId="10" fontId="0" fillId="0" borderId="0" xfId="0" applyNumberFormat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3" borderId="1" xfId="0" applyNumberFormat="1" applyFill="1" applyBorder="1"/>
    <xf numFmtId="9" fontId="0" fillId="0" borderId="1" xfId="0" applyNumberFormat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3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sz val="8"/>
        <color theme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8"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8"/>
        <color theme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8"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8"/>
        <color theme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Estilo de segmentación de datos 1" pivot="0" table="0" count="1" xr9:uid="{BF51BC49-2638-4725-A6AE-D6D8E0F2C784}">
      <tableStyleElement type="headerRow" dxfId="59"/>
    </tableStyle>
    <tableStyle name="Segmentacion Cursos" pivot="0" table="0" count="10" xr9:uid="{2328C971-3ED8-40C0-A444-1A036EF0B0D7}">
      <tableStyleElement type="wholeTable" dxfId="58"/>
      <tableStyleElement type="headerRow" dxfId="57"/>
    </tableStyle>
    <tableStyle name="SEGMENTACION NOMBRES ALUMNOS" pivot="0" table="0" count="10" xr9:uid="{8F63C3A5-8B1A-45A1-B2D5-76E453A8760F}">
      <tableStyleElement type="wholeTable" dxfId="56"/>
      <tableStyleElement type="headerRow" dxfId="55"/>
    </tableStyle>
    <tableStyle name="SlicerStyleOther2 2" pivot="0" table="0" count="10" xr9:uid="{C4675BD6-61A7-4D45-894F-A20E5C71ADE5}">
      <tableStyleElement type="wholeTable" dxfId="54"/>
      <tableStyleElement type="headerRow" dxfId="53"/>
    </tableStyle>
  </tableStyles>
  <colors>
    <mruColors>
      <color rgb="FFA8C08A"/>
      <color rgb="FF7AAA62"/>
      <color rgb="FF496E34"/>
      <color rgb="FF517C3A"/>
      <color rgb="FFD4E0C6"/>
      <color rgb="FFCDDCC2"/>
      <color rgb="FFAACE96"/>
      <color rgb="FFB2C898"/>
      <color rgb="FFC2D3AD"/>
      <color rgb="FFBBDAB4"/>
    </mruColors>
  </colors>
  <extLst>
    <ext xmlns:x14="http://schemas.microsoft.com/office/spreadsheetml/2009/9/main" uri="{46F421CA-312F-682f-3DD2-61675219B42D}">
      <x14:dxfs count="24">
        <dxf>
          <font>
            <color theme="1"/>
          </font>
          <fill>
            <patternFill patternType="solid">
              <fgColor auto="1"/>
              <bgColor rgb="FF7CAD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61AC5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7AAA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 val="0"/>
            <i val="0"/>
            <sz val="9"/>
            <color theme="0"/>
          </font>
          <fill>
            <patternFill patternType="solid">
              <fgColor auto="1"/>
              <bgColor rgb="FF92C68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rgb="FF83B47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496E34"/>
          </font>
          <fill>
            <patternFill patternType="solid">
              <fgColor auto="1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rgb="FF7CAD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61AC5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7AAA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 val="0"/>
            <i val="0"/>
            <sz val="8"/>
            <color theme="1"/>
          </font>
          <fill>
            <patternFill patternType="solid">
              <fgColor auto="1"/>
              <bgColor rgb="FF92C68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rgb="FF83B47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1" tint="0.499984740745262"/>
          </font>
          <fill>
            <patternFill patternType="solid">
              <fgColor auto="1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7CAD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61AC5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7AAA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9"/>
            <color theme="0"/>
          </font>
          <fill>
            <patternFill patternType="solid">
              <fgColor auto="1"/>
              <bgColor rgb="FF92C68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828282"/>
          </font>
          <fill>
            <patternFill patternType="solid">
              <fgColor auto="1"/>
              <bgColor rgb="FF83B47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7AAA62"/>
          </font>
          <fill>
            <patternFill patternType="solid">
              <fgColor auto="1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Segmentacion Cursos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EGMENTACION NOMBRES ALUMNOS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microsoft.com/office/2007/relationships/slicerCache" Target="slicerCaches/slicerCache1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microsoft.com/office/2007/relationships/slicerCache" Target="slicerCaches/slicerCache5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microsoft.com/office/2007/relationships/slicerCache" Target="slicerCaches/slicerCache4.xml"/><Relationship Id="rId28" Type="http://schemas.openxmlformats.org/officeDocument/2006/relationships/sharedStrings" Target="sharedStrings.xml"/><Relationship Id="rId10" Type="http://schemas.openxmlformats.org/officeDocument/2006/relationships/pivotCacheDefinition" Target="pivotCache/pivotCacheDefinition7.xml"/><Relationship Id="rId19" Type="http://schemas.openxmlformats.org/officeDocument/2006/relationships/pivotCacheDefinition" Target="pivotCache/pivotCacheDefinition16.xml"/><Relationship Id="rId31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microsoft.com/office/2007/relationships/slicerCache" Target="slicerCaches/slicerCache3.xml"/><Relationship Id="rId27" Type="http://schemas.openxmlformats.org/officeDocument/2006/relationships/styles" Target="styles.xml"/><Relationship Id="rId30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577B43"/>
                </a:solidFill>
              </a:rPr>
              <a:t>Notas de estudiantes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577B43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100000">
                <a:srgbClr val="B2C898"/>
              </a:gs>
              <a:gs pos="0">
                <a:srgbClr val="5D8742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00000">
                  <a:srgbClr val="B2C898"/>
                </a:gs>
                <a:gs pos="0">
                  <a:srgbClr val="5D8742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Analisis!$A$15:$A$19</c:f>
              <c:strCache>
                <c:ptCount val="4"/>
                <c:pt idx="0">
                  <c:v>C</c:v>
                </c:pt>
                <c:pt idx="1">
                  <c:v>B</c:v>
                </c:pt>
                <c:pt idx="2">
                  <c:v>A</c:v>
                </c:pt>
                <c:pt idx="3">
                  <c:v>AD</c:v>
                </c:pt>
              </c:strCache>
            </c:strRef>
          </c:cat>
          <c:val>
            <c:numRef>
              <c:f>Analisis!$B$15:$B$19</c:f>
              <c:numCache>
                <c:formatCode>General</c:formatCode>
                <c:ptCount val="4"/>
                <c:pt idx="0">
                  <c:v>12</c:v>
                </c:pt>
                <c:pt idx="1">
                  <c:v>331</c:v>
                </c:pt>
                <c:pt idx="2">
                  <c:v>338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7-46B1-8364-43E6F4C78A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3099640"/>
        <c:axId val="963101800"/>
      </c:barChart>
      <c:catAx>
        <c:axId val="963099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96E2B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101800"/>
        <c:crosses val="autoZero"/>
        <c:auto val="1"/>
        <c:lblAlgn val="ctr"/>
        <c:lblOffset val="100"/>
        <c:noMultiLvlLbl val="0"/>
      </c:catAx>
      <c:valAx>
        <c:axId val="963101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6E2C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96E2B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099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C6D6B2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7E9F55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rPr>
              <a:t>Promedio de Asistecia por 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rgbClr val="577B43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5180265654649003E-2"/>
              <c:y val="-5.2202274909373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0120177103099304E-2"/>
              <c:y val="1.30505687273434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7.590132827324478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7.590132827324478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0120177103099304E-2"/>
              <c:y val="1.30505687273434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5180265654649003E-2"/>
              <c:y val="-5.2202274909373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7E9F55"/>
            </a:solidFill>
            <a:round/>
          </a:ln>
          <a:effectLst/>
        </c:spPr>
        <c:marker>
          <c:symbol val="circle"/>
          <c:size val="5"/>
          <c:spPr>
            <a:solidFill>
              <a:srgbClr val="517C3A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7E9F55"/>
            </a:solidFill>
            <a:round/>
          </a:ln>
          <a:effectLst/>
        </c:spPr>
        <c:marker>
          <c:symbol val="circle"/>
          <c:size val="5"/>
          <c:spPr>
            <a:solidFill>
              <a:srgbClr val="517C3A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7.590132827324478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7E9F55"/>
            </a:solidFill>
            <a:round/>
          </a:ln>
          <a:effectLst/>
        </c:spPr>
        <c:marker>
          <c:symbol val="circle"/>
          <c:size val="5"/>
          <c:spPr>
            <a:solidFill>
              <a:srgbClr val="517C3A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1.0120177103099304E-2"/>
              <c:y val="1.30505687273434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7E9F55"/>
            </a:solidFill>
            <a:round/>
          </a:ln>
          <a:effectLst/>
        </c:spPr>
        <c:marker>
          <c:symbol val="circle"/>
          <c:size val="5"/>
          <c:spPr>
            <a:solidFill>
              <a:srgbClr val="517C3A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1.806630128045765E-2"/>
              <c:y val="-7.19839279061046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Analisis!$B$38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E9F5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17C3A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517C3A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68-41BD-AFA8-7865BF14528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517C3A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068-41BD-AFA8-7865BF14528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517C3A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068-41BD-AFA8-7865BF14528A}"/>
              </c:ext>
            </c:extLst>
          </c:dPt>
          <c:dLbls>
            <c:dLbl>
              <c:idx val="1"/>
              <c:layout>
                <c:manualLayout>
                  <c:x val="7.590132827324478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68-41BD-AFA8-7865BF14528A}"/>
                </c:ext>
              </c:extLst>
            </c:dLbl>
            <c:dLbl>
              <c:idx val="2"/>
              <c:layout>
                <c:manualLayout>
                  <c:x val="1.0120177103099304E-2"/>
                  <c:y val="1.3050568727343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68-41BD-AFA8-7865BF14528A}"/>
                </c:ext>
              </c:extLst>
            </c:dLbl>
            <c:dLbl>
              <c:idx val="4"/>
              <c:layout>
                <c:manualLayout>
                  <c:x val="-1.806630128045765E-2"/>
                  <c:y val="-7.1983927906104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68-41BD-AFA8-7865BF145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Analisis!$A$39:$A$45</c:f>
              <c:strCache>
                <c:ptCount val="6"/>
                <c:pt idx="0">
                  <c:v>Comunicación</c:v>
                </c:pt>
                <c:pt idx="1">
                  <c:v>Estadística</c:v>
                </c:pt>
                <c:pt idx="2">
                  <c:v>Física</c:v>
                </c:pt>
                <c:pt idx="3">
                  <c:v>Inglés</c:v>
                </c:pt>
                <c:pt idx="4">
                  <c:v>Matemática</c:v>
                </c:pt>
                <c:pt idx="5">
                  <c:v>Religión</c:v>
                </c:pt>
              </c:strCache>
            </c:strRef>
          </c:cat>
          <c:val>
            <c:numRef>
              <c:f>Analisis!$B$39:$B$45</c:f>
              <c:numCache>
                <c:formatCode>0.00%</c:formatCode>
                <c:ptCount val="6"/>
                <c:pt idx="0">
                  <c:v>0.57913793103448319</c:v>
                </c:pt>
                <c:pt idx="1">
                  <c:v>0.57586206896551762</c:v>
                </c:pt>
                <c:pt idx="2">
                  <c:v>0.60172413793103474</c:v>
                </c:pt>
                <c:pt idx="3">
                  <c:v>0.63103448275862106</c:v>
                </c:pt>
                <c:pt idx="4">
                  <c:v>0.67284482758620756</c:v>
                </c:pt>
                <c:pt idx="5">
                  <c:v>0.60086206896551775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68-41BD-AFA8-7865BF145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10456"/>
        <c:axId val="962607936"/>
      </c:radarChart>
      <c:catAx>
        <c:axId val="96261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2607936"/>
        <c:crosses val="autoZero"/>
        <c:auto val="1"/>
        <c:lblAlgn val="ctr"/>
        <c:lblOffset val="100"/>
        <c:noMultiLvlLbl val="0"/>
      </c:catAx>
      <c:valAx>
        <c:axId val="962607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6261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rPr>
              <a:t>Ranking de Cursos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577B43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B2C898"/>
              </a:gs>
              <a:gs pos="0">
                <a:srgbClr val="5D8742"/>
              </a:gs>
            </a:gsLst>
            <a:path path="circle">
              <a:fillToRect l="100000" t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517C3A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rgbClr val="B2C898"/>
              </a:gs>
              <a:gs pos="0">
                <a:srgbClr val="5D8742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758976004518814"/>
          <c:y val="0.34876493055555557"/>
          <c:w val="0.77617750465403779"/>
          <c:h val="0.549289930555555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Analisis!$B$55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B2C898"/>
                </a:gs>
                <a:gs pos="0">
                  <a:srgbClr val="5D8742"/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100000">
                    <a:srgbClr val="B2C898"/>
                  </a:gs>
                  <a:gs pos="0">
                    <a:srgbClr val="5D8742"/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92-4E3E-8D45-D8D9884602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517C3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Analisis!$A$56:$A$62</c:f>
              <c:strCache>
                <c:ptCount val="6"/>
                <c:pt idx="0">
                  <c:v>Física</c:v>
                </c:pt>
                <c:pt idx="1">
                  <c:v>Inglés</c:v>
                </c:pt>
                <c:pt idx="2">
                  <c:v>Religión</c:v>
                </c:pt>
                <c:pt idx="3">
                  <c:v>Comunicación</c:v>
                </c:pt>
                <c:pt idx="4">
                  <c:v>Estadística</c:v>
                </c:pt>
                <c:pt idx="5">
                  <c:v>Matemática</c:v>
                </c:pt>
              </c:strCache>
            </c:strRef>
          </c:cat>
          <c:val>
            <c:numRef>
              <c:f>Analisis!$B$56:$B$62</c:f>
              <c:numCache>
                <c:formatCode>General</c:formatCode>
                <c:ptCount val="6"/>
                <c:pt idx="0">
                  <c:v>64</c:v>
                </c:pt>
                <c:pt idx="1">
                  <c:v>63</c:v>
                </c:pt>
                <c:pt idx="2">
                  <c:v>61</c:v>
                </c:pt>
                <c:pt idx="3">
                  <c:v>59</c:v>
                </c:pt>
                <c:pt idx="4">
                  <c:v>55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2-4E3E-8D45-D8D988460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axId val="966681040"/>
        <c:axId val="966682480"/>
      </c:barChart>
      <c:catAx>
        <c:axId val="96668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7C3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682480"/>
        <c:crosses val="autoZero"/>
        <c:auto val="1"/>
        <c:lblAlgn val="ctr"/>
        <c:lblOffset val="100"/>
        <c:noMultiLvlLbl val="0"/>
      </c:catAx>
      <c:valAx>
        <c:axId val="9666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6E2C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7C3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68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rPr>
              <a:t>Notas por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577B43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gradFill>
              <a:gsLst>
                <a:gs pos="0">
                  <a:srgbClr val="B2C898"/>
                </a:gs>
                <a:gs pos="100000">
                  <a:srgbClr val="517C3A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7AAA62"/>
            </a:solidFill>
            <a:ln w="9525">
              <a:solidFill>
                <a:srgbClr val="7AAA6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517C3A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496E34"/>
            </a:solidFill>
            <a:round/>
          </a:ln>
          <a:effectLst/>
        </c:spPr>
        <c:marker>
          <c:spPr>
            <a:solidFill>
              <a:srgbClr val="496E34"/>
            </a:solidFill>
            <a:ln w="9525">
              <a:solidFill>
                <a:srgbClr val="496E3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7AAA62"/>
            </a:solidFill>
            <a:round/>
          </a:ln>
          <a:effectLst/>
        </c:spPr>
        <c:marker>
          <c:spPr>
            <a:solidFill>
              <a:srgbClr val="7AAA62"/>
            </a:solidFill>
            <a:ln w="9525">
              <a:solidFill>
                <a:srgbClr val="7AAA6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A8C08A"/>
            </a:solidFill>
            <a:round/>
          </a:ln>
          <a:effectLst/>
        </c:spPr>
        <c:marker>
          <c:spPr>
            <a:solidFill>
              <a:srgbClr val="A8C08A"/>
            </a:solidFill>
            <a:ln w="9525">
              <a:solidFill>
                <a:srgbClr val="A8C08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gradFill>
              <a:gsLst>
                <a:gs pos="0">
                  <a:srgbClr val="B2C898"/>
                </a:gs>
                <a:gs pos="100000">
                  <a:srgbClr val="517C3A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7AAA62"/>
            </a:solidFill>
            <a:ln w="9525">
              <a:solidFill>
                <a:srgbClr val="7AAA6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5605374457726462E-2"/>
          <c:y val="0.17171296296296296"/>
          <c:w val="0.78732067521177362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Analisis!$B$73:$B$74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B2C898"/>
                  </a:gs>
                  <a:gs pos="100000">
                    <a:srgbClr val="517C3A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rgbClr val="7AAA62"/>
              </a:solidFill>
              <a:ln w="9525">
                <a:solidFill>
                  <a:srgbClr val="7AAA6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517C3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Analisis!$A$75:$A$79</c:f>
              <c:strCache>
                <c:ptCount val="4"/>
                <c:pt idx="0">
                  <c:v>Tri -  1</c:v>
                </c:pt>
                <c:pt idx="1">
                  <c:v>Tri -  2</c:v>
                </c:pt>
                <c:pt idx="2">
                  <c:v>Tri -  3</c:v>
                </c:pt>
                <c:pt idx="3">
                  <c:v>Tri -  4</c:v>
                </c:pt>
              </c:strCache>
            </c:strRef>
          </c:cat>
          <c:val>
            <c:numRef>
              <c:f>Analisis!$B$75:$B$79</c:f>
              <c:numCache>
                <c:formatCode>General</c:formatCode>
                <c:ptCount val="4"/>
                <c:pt idx="0">
                  <c:v>78</c:v>
                </c:pt>
                <c:pt idx="1">
                  <c:v>91</c:v>
                </c:pt>
                <c:pt idx="2">
                  <c:v>80</c:v>
                </c:pt>
                <c:pt idx="3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0A-4E04-98F6-8FA5EAAEAAF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3102520"/>
        <c:axId val="963101440"/>
      </c:lineChart>
      <c:catAx>
        <c:axId val="96310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7C3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101440"/>
        <c:crosses val="autoZero"/>
        <c:auto val="1"/>
        <c:lblAlgn val="ctr"/>
        <c:lblOffset val="100"/>
        <c:noMultiLvlLbl val="0"/>
      </c:catAx>
      <c:valAx>
        <c:axId val="9631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6E2C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17C3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10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rPr>
              <a:t>Promedio de Asistencia por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rgbClr val="577B43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517C3A"/>
            </a:solidFill>
            <a:round/>
          </a:ln>
          <a:effectLst>
            <a:softEdge rad="0"/>
          </a:effectLst>
        </c:spPr>
        <c:marker>
          <c:symbol val="circle"/>
          <c:size val="5"/>
          <c:spPr>
            <a:gradFill>
              <a:gsLst>
                <a:gs pos="100000">
                  <a:srgbClr val="B2C898">
                    <a:alpha val="72000"/>
                    <a:lumMod val="100000"/>
                  </a:srgbClr>
                </a:gs>
                <a:gs pos="0">
                  <a:srgbClr val="517C3A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>
              <a:softEdge rad="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rgbClr val="517C3A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517C3A"/>
            </a:solidFill>
            <a:round/>
          </a:ln>
          <a:effectLst>
            <a:softEdge rad="0"/>
          </a:effectLst>
        </c:spPr>
        <c:marker>
          <c:symbol val="circle"/>
          <c:size val="5"/>
          <c:spPr>
            <a:gradFill>
              <a:gsLst>
                <a:gs pos="100000">
                  <a:srgbClr val="B2C898">
                    <a:alpha val="72000"/>
                    <a:lumMod val="100000"/>
                  </a:srgbClr>
                </a:gs>
                <a:gs pos="0">
                  <a:srgbClr val="517C3A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>
              <a:softEdge rad="0"/>
            </a:effectLst>
          </c:spPr>
        </c:marker>
      </c:pivotFmt>
      <c:pivotFmt>
        <c:idx val="4"/>
        <c:spPr>
          <a:ln w="28575" cap="rnd">
            <a:solidFill>
              <a:srgbClr val="517C3A"/>
            </a:solidFill>
            <a:round/>
          </a:ln>
          <a:effectLst>
            <a:softEdge rad="0"/>
          </a:effectLst>
        </c:spPr>
        <c:marker>
          <c:symbol val="circle"/>
          <c:size val="5"/>
          <c:spPr>
            <a:gradFill>
              <a:gsLst>
                <a:gs pos="100000">
                  <a:srgbClr val="B2C898">
                    <a:alpha val="72000"/>
                    <a:lumMod val="100000"/>
                  </a:srgbClr>
                </a:gs>
                <a:gs pos="0">
                  <a:srgbClr val="517C3A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>
              <a:softEdge rad="0"/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0846857212982196"/>
          <c:y val="0.15034076227390178"/>
          <c:w val="0.86452720743554679"/>
          <c:h val="0.71790794573643413"/>
        </c:manualLayout>
      </c:layout>
      <c:lineChart>
        <c:grouping val="standard"/>
        <c:varyColors val="0"/>
        <c:ser>
          <c:idx val="0"/>
          <c:order val="0"/>
          <c:tx>
            <c:strRef>
              <c:f>Analisis!$B$104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17C3A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gradFill>
                <a:gsLst>
                  <a:gs pos="100000">
                    <a:srgbClr val="B2C898">
                      <a:alpha val="72000"/>
                      <a:lumMod val="100000"/>
                    </a:srgbClr>
                  </a:gs>
                  <a:gs pos="0">
                    <a:srgbClr val="517C3A"/>
                  </a:gs>
                </a:gsLst>
                <a:lin ang="5400000" scaled="1"/>
              </a:gradFill>
              <a:ln w="9525">
                <a:solidFill>
                  <a:schemeClr val="accent1"/>
                </a:solidFill>
              </a:ln>
              <a:effectLst>
                <a:softEdge rad="0"/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517C3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Analisis!$A$105:$A$109</c:f>
              <c:strCache>
                <c:ptCount val="4"/>
                <c:pt idx="0">
                  <c:v>Tri -  1</c:v>
                </c:pt>
                <c:pt idx="1">
                  <c:v>Tri -  2</c:v>
                </c:pt>
                <c:pt idx="2">
                  <c:v>Tri -  3</c:v>
                </c:pt>
                <c:pt idx="3">
                  <c:v>Tri -  4</c:v>
                </c:pt>
              </c:strCache>
            </c:strRef>
          </c:cat>
          <c:val>
            <c:numRef>
              <c:f>Analisis!$B$105:$B$109</c:f>
              <c:numCache>
                <c:formatCode>0.00%</c:formatCode>
                <c:ptCount val="4"/>
                <c:pt idx="0">
                  <c:v>0.59741379310344922</c:v>
                </c:pt>
                <c:pt idx="1">
                  <c:v>0.61712643678160994</c:v>
                </c:pt>
                <c:pt idx="2">
                  <c:v>0.60660919540229963</c:v>
                </c:pt>
                <c:pt idx="3">
                  <c:v>0.61982758620689737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B2-413E-9C7D-D8058D21B51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9169040"/>
        <c:axId val="1209170480"/>
      </c:lineChart>
      <c:catAx>
        <c:axId val="12091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17C3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09170480"/>
        <c:crosses val="autoZero"/>
        <c:auto val="1"/>
        <c:lblAlgn val="ctr"/>
        <c:lblOffset val="100"/>
        <c:noMultiLvlLbl val="0"/>
      </c:catAx>
      <c:valAx>
        <c:axId val="12091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6E2C8"/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rgbClr val="517C3A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09169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rgbClr val="517C3A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Analisis!$C$194</c:f>
              <c:strCache>
                <c:ptCount val="1"/>
                <c:pt idx="0">
                  <c:v>Cursos aprobados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Analisis!$C$199</c:f>
              <c:numCache>
                <c:formatCode>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8-409B-AF10-D2B57478229E}"/>
            </c:ext>
          </c:extLst>
        </c:ser>
        <c:ser>
          <c:idx val="1"/>
          <c:order val="1"/>
          <c:tx>
            <c:strRef>
              <c:f>Analisis!$D$194</c:f>
              <c:strCache>
                <c:ptCount val="1"/>
                <c:pt idx="0">
                  <c:v>Cursos desaprobados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Analisis!$D$199</c:f>
              <c:numCache>
                <c:formatCode>0%</c:formatCode>
                <c:ptCount val="1"/>
                <c:pt idx="0">
                  <c:v>0.33333333333333337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8-409B-AF10-D2B574782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4978528"/>
        <c:axId val="1234978168"/>
      </c:barChart>
      <c:catAx>
        <c:axId val="1234978528"/>
        <c:scaling>
          <c:orientation val="minMax"/>
        </c:scaling>
        <c:delete val="1"/>
        <c:axPos val="l"/>
        <c:majorTickMark val="none"/>
        <c:minorTickMark val="none"/>
        <c:tickLblPos val="nextTo"/>
        <c:crossAx val="1234978168"/>
        <c:crosses val="autoZero"/>
        <c:auto val="1"/>
        <c:lblAlgn val="ctr"/>
        <c:lblOffset val="100"/>
        <c:noMultiLvlLbl val="0"/>
      </c:catAx>
      <c:valAx>
        <c:axId val="12349781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49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rgbClr val="577B43"/>
                </a:solidFill>
                <a:latin typeface="+mn-lt"/>
                <a:ea typeface="+mn-ea"/>
                <a:cs typeface="+mn-cs"/>
              </a:rPr>
              <a:t>Asistencia por 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rgbClr val="577B43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777777777777777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777777777777777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496E34"/>
            </a:solidFill>
            <a:round/>
          </a:ln>
          <a:effectLst/>
        </c:spPr>
        <c:marker>
          <c:symbol val="circle"/>
          <c:size val="5"/>
          <c:spPr>
            <a:solidFill>
              <a:srgbClr val="496E34"/>
            </a:solidFill>
            <a:ln w="9525">
              <a:solidFill>
                <a:srgbClr val="496E3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496E34"/>
            </a:solidFill>
            <a:round/>
          </a:ln>
          <a:effectLst/>
        </c:spPr>
        <c:marker>
          <c:symbol val="circle"/>
          <c:size val="5"/>
          <c:spPr>
            <a:solidFill>
              <a:srgbClr val="496E34"/>
            </a:solidFill>
            <a:ln w="9525">
              <a:solidFill>
                <a:srgbClr val="496E34"/>
              </a:solidFill>
            </a:ln>
            <a:effectLst/>
          </c:spPr>
        </c:marker>
        <c:dLbl>
          <c:idx val="0"/>
          <c:layout>
            <c:manualLayout>
              <c:x val="-4.9934129297982306E-2"/>
              <c:y val="-0.102096801061834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Analisis!$D$221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96E3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96E34"/>
              </a:solidFill>
              <a:ln w="9525">
                <a:solidFill>
                  <a:srgbClr val="496E34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496E34"/>
                </a:solidFill>
                <a:ln w="9525">
                  <a:solidFill>
                    <a:srgbClr val="496E3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8D3-4F3B-8607-3BF353E729C5}"/>
              </c:ext>
            </c:extLst>
          </c:dPt>
          <c:dLbls>
            <c:dLbl>
              <c:idx val="4"/>
              <c:layout>
                <c:manualLayout>
                  <c:x val="-4.9934129297982306E-2"/>
                  <c:y val="-0.102096801061834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D3-4F3B-8607-3BF353E729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Analisis!$C$222:$C$228</c:f>
              <c:strCache>
                <c:ptCount val="6"/>
                <c:pt idx="0">
                  <c:v>Comunicación</c:v>
                </c:pt>
                <c:pt idx="1">
                  <c:v>Estadística</c:v>
                </c:pt>
                <c:pt idx="2">
                  <c:v>Física</c:v>
                </c:pt>
                <c:pt idx="3">
                  <c:v>Inglés</c:v>
                </c:pt>
                <c:pt idx="4">
                  <c:v>Matemática</c:v>
                </c:pt>
                <c:pt idx="5">
                  <c:v>Religión</c:v>
                </c:pt>
              </c:strCache>
            </c:strRef>
          </c:cat>
          <c:val>
            <c:numRef>
              <c:f>Analisis!$D$222:$D$228</c:f>
              <c:numCache>
                <c:formatCode>0.00%</c:formatCode>
                <c:ptCount val="6"/>
                <c:pt idx="0">
                  <c:v>0.57913793103448319</c:v>
                </c:pt>
                <c:pt idx="1">
                  <c:v>0.57586206896551762</c:v>
                </c:pt>
                <c:pt idx="2">
                  <c:v>0.60172413793103474</c:v>
                </c:pt>
                <c:pt idx="3">
                  <c:v>0.63103448275862106</c:v>
                </c:pt>
                <c:pt idx="4">
                  <c:v>0.67284482758620756</c:v>
                </c:pt>
                <c:pt idx="5">
                  <c:v>0.60086206896551775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3-4F3B-8607-3BF353E729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34090088"/>
        <c:axId val="1234090448"/>
      </c:radarChart>
      <c:catAx>
        <c:axId val="123409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4090448"/>
        <c:crosses val="autoZero"/>
        <c:auto val="1"/>
        <c:lblAlgn val="ctr"/>
        <c:lblOffset val="100"/>
        <c:noMultiLvlLbl val="0"/>
      </c:catAx>
      <c:valAx>
        <c:axId val="1234090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34090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517C3A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25736618717363E-2"/>
          <c:y val="0.27377791191218781"/>
          <c:w val="0.86651565483479187"/>
          <c:h val="0.500176692999954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Analisis!$C$194</c:f>
              <c:strCache>
                <c:ptCount val="1"/>
                <c:pt idx="0">
                  <c:v>Cursos aprobados</c:v>
                </c:pt>
              </c:strCache>
            </c:strRef>
          </c:tx>
          <c:spPr>
            <a:solidFill>
              <a:srgbClr val="517C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Analisis!$C$199</c:f>
              <c:numCache>
                <c:formatCode>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0-48CD-A1C6-0B413AF6E5C3}"/>
            </c:ext>
          </c:extLst>
        </c:ser>
        <c:ser>
          <c:idx val="1"/>
          <c:order val="1"/>
          <c:tx>
            <c:strRef>
              <c:f>Analisis!$D$194</c:f>
              <c:strCache>
                <c:ptCount val="1"/>
                <c:pt idx="0">
                  <c:v>Cursos desaprobados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4E0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B0-48CD-A1C6-0B413AF6E5C3}"/>
              </c:ext>
            </c:extLst>
          </c:dPt>
          <c:val>
            <c:numRef>
              <c:f>Analisis!$D$199</c:f>
              <c:numCache>
                <c:formatCode>0%</c:formatCode>
                <c:ptCount val="1"/>
                <c:pt idx="0">
                  <c:v>0.33333333333333337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0-48CD-A1C6-0B413AF6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4978528"/>
        <c:axId val="1234978168"/>
      </c:barChart>
      <c:catAx>
        <c:axId val="1234978528"/>
        <c:scaling>
          <c:orientation val="minMax"/>
        </c:scaling>
        <c:delete val="1"/>
        <c:axPos val="l"/>
        <c:majorTickMark val="none"/>
        <c:minorTickMark val="none"/>
        <c:tickLblPos val="nextTo"/>
        <c:crossAx val="1234978168"/>
        <c:crosses val="autoZero"/>
        <c:auto val="1"/>
        <c:lblAlgn val="ctr"/>
        <c:lblOffset val="100"/>
        <c:noMultiLvlLbl val="0"/>
      </c:catAx>
      <c:valAx>
        <c:axId val="12349781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6E3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49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517C3A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>
                <a:solidFill>
                  <a:schemeClr val="bg1"/>
                </a:solidFill>
              </a:rPr>
              <a:t>DASHBOARD DE RENDIMIENTO ACADEMICO</a:t>
            </a:r>
          </a:p>
        </c:rich>
      </c:tx>
      <c:layout>
        <c:manualLayout>
          <c:xMode val="edge"/>
          <c:yMode val="edge"/>
          <c:x val="0.18154906204906204"/>
          <c:y val="0.11212937370775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.9444444444444445E-2"/>
          <c:h val="3.2407407407407406E-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8F-4AA5-8A10-22C517BCA1F7}"/>
              </c:ext>
            </c:extLst>
          </c:dPt>
          <c:val>
            <c:numRef>
              <c:f>Analisis!$I$17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8F-4AA5-8A10-22C517BC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00000">
          <a:srgbClr val="B2C898"/>
        </a:gs>
        <a:gs pos="0">
          <a:srgbClr val="517C3A"/>
        </a:gs>
      </a:gsLst>
      <a:lin ang="27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Analisis!$A$15:$A$19</c:f>
              <c:strCache>
                <c:ptCount val="4"/>
                <c:pt idx="0">
                  <c:v>C</c:v>
                </c:pt>
                <c:pt idx="1">
                  <c:v>B</c:v>
                </c:pt>
                <c:pt idx="2">
                  <c:v>A</c:v>
                </c:pt>
                <c:pt idx="3">
                  <c:v>AD</c:v>
                </c:pt>
              </c:strCache>
            </c:strRef>
          </c:cat>
          <c:val>
            <c:numRef>
              <c:f>Analisis!$B$15:$B$19</c:f>
              <c:numCache>
                <c:formatCode>General</c:formatCode>
                <c:ptCount val="4"/>
                <c:pt idx="0">
                  <c:v>12</c:v>
                </c:pt>
                <c:pt idx="1">
                  <c:v>331</c:v>
                </c:pt>
                <c:pt idx="2">
                  <c:v>338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073-8803-3FB3CC3C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3099640"/>
        <c:axId val="963101800"/>
      </c:barChart>
      <c:catAx>
        <c:axId val="963099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101800"/>
        <c:crosses val="autoZero"/>
        <c:auto val="1"/>
        <c:lblAlgn val="ctr"/>
        <c:lblOffset val="100"/>
        <c:noMultiLvlLbl val="0"/>
      </c:catAx>
      <c:valAx>
        <c:axId val="963101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09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5180265654649003E-2"/>
              <c:y val="-5.2202274909373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0120177103099304E-2"/>
              <c:y val="1.30505687273434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7.590132827324478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Analisis!$B$38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33E-4545-9095-BEE929BBFFA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33E-4545-9095-BEE929BBFFA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33E-4545-9095-BEE929BBFFA7}"/>
              </c:ext>
            </c:extLst>
          </c:dPt>
          <c:dLbls>
            <c:dLbl>
              <c:idx val="1"/>
              <c:layout>
                <c:manualLayout>
                  <c:x val="7.590132827324478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3E-4545-9095-BEE929BBFFA7}"/>
                </c:ext>
              </c:extLst>
            </c:dLbl>
            <c:dLbl>
              <c:idx val="2"/>
              <c:layout>
                <c:manualLayout>
                  <c:x val="1.0120177103099304E-2"/>
                  <c:y val="1.3050568727343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3E-4545-9095-BEE929BBFFA7}"/>
                </c:ext>
              </c:extLst>
            </c:dLbl>
            <c:dLbl>
              <c:idx val="4"/>
              <c:layout>
                <c:manualLayout>
                  <c:x val="-1.5180265654649003E-2"/>
                  <c:y val="-5.2202274909373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3E-4545-9095-BEE929BBFF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Analisis!$A$39:$A$45</c:f>
              <c:strCache>
                <c:ptCount val="6"/>
                <c:pt idx="0">
                  <c:v>Comunicación</c:v>
                </c:pt>
                <c:pt idx="1">
                  <c:v>Estadística</c:v>
                </c:pt>
                <c:pt idx="2">
                  <c:v>Física</c:v>
                </c:pt>
                <c:pt idx="3">
                  <c:v>Inglés</c:v>
                </c:pt>
                <c:pt idx="4">
                  <c:v>Matemática</c:v>
                </c:pt>
                <c:pt idx="5">
                  <c:v>Religión</c:v>
                </c:pt>
              </c:strCache>
            </c:strRef>
          </c:cat>
          <c:val>
            <c:numRef>
              <c:f>Analisis!$B$39:$B$45</c:f>
              <c:numCache>
                <c:formatCode>0.00%</c:formatCode>
                <c:ptCount val="6"/>
                <c:pt idx="0">
                  <c:v>0.57913793103448319</c:v>
                </c:pt>
                <c:pt idx="1">
                  <c:v>0.57586206896551762</c:v>
                </c:pt>
                <c:pt idx="2">
                  <c:v>0.60172413793103474</c:v>
                </c:pt>
                <c:pt idx="3">
                  <c:v>0.63103448275862106</c:v>
                </c:pt>
                <c:pt idx="4">
                  <c:v>0.67284482758620756</c:v>
                </c:pt>
                <c:pt idx="5">
                  <c:v>0.60086206896551775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E-4545-9095-BEE929BBF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10456"/>
        <c:axId val="962607936"/>
      </c:radarChart>
      <c:catAx>
        <c:axId val="96261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2607936"/>
        <c:crosses val="autoZero"/>
        <c:auto val="1"/>
        <c:lblAlgn val="ctr"/>
        <c:lblOffset val="100"/>
        <c:noMultiLvlLbl val="0"/>
      </c:catAx>
      <c:valAx>
        <c:axId val="962607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6261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Analisis!$A$56:$A$62</c:f>
              <c:strCache>
                <c:ptCount val="6"/>
                <c:pt idx="0">
                  <c:v>Física</c:v>
                </c:pt>
                <c:pt idx="1">
                  <c:v>Inglés</c:v>
                </c:pt>
                <c:pt idx="2">
                  <c:v>Religión</c:v>
                </c:pt>
                <c:pt idx="3">
                  <c:v>Comunicación</c:v>
                </c:pt>
                <c:pt idx="4">
                  <c:v>Estadística</c:v>
                </c:pt>
                <c:pt idx="5">
                  <c:v>Matemática</c:v>
                </c:pt>
              </c:strCache>
            </c:strRef>
          </c:cat>
          <c:val>
            <c:numRef>
              <c:f>Analisis!$B$56:$B$62</c:f>
              <c:numCache>
                <c:formatCode>General</c:formatCode>
                <c:ptCount val="6"/>
                <c:pt idx="0">
                  <c:v>64</c:v>
                </c:pt>
                <c:pt idx="1">
                  <c:v>63</c:v>
                </c:pt>
                <c:pt idx="2">
                  <c:v>61</c:v>
                </c:pt>
                <c:pt idx="3">
                  <c:v>59</c:v>
                </c:pt>
                <c:pt idx="4">
                  <c:v>55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D-49CC-AFAE-0D99E6CC19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6681040"/>
        <c:axId val="966682480"/>
      </c:barChart>
      <c:catAx>
        <c:axId val="96668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682480"/>
        <c:crosses val="autoZero"/>
        <c:auto val="1"/>
        <c:lblAlgn val="ctr"/>
        <c:lblOffset val="100"/>
        <c:noMultiLvlLbl val="0"/>
      </c:catAx>
      <c:valAx>
        <c:axId val="9666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68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Analisis!$B$73:$B$74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Analisis!$A$75:$A$79</c:f>
              <c:strCache>
                <c:ptCount val="4"/>
                <c:pt idx="0">
                  <c:v>Tri -  1</c:v>
                </c:pt>
                <c:pt idx="1">
                  <c:v>Tri -  2</c:v>
                </c:pt>
                <c:pt idx="2">
                  <c:v>Tri -  3</c:v>
                </c:pt>
                <c:pt idx="3">
                  <c:v>Tri -  4</c:v>
                </c:pt>
              </c:strCache>
            </c:strRef>
          </c:cat>
          <c:val>
            <c:numRef>
              <c:f>Analisis!$B$75:$B$79</c:f>
              <c:numCache>
                <c:formatCode>General</c:formatCode>
                <c:ptCount val="4"/>
                <c:pt idx="0">
                  <c:v>78</c:v>
                </c:pt>
                <c:pt idx="1">
                  <c:v>91</c:v>
                </c:pt>
                <c:pt idx="2">
                  <c:v>80</c:v>
                </c:pt>
                <c:pt idx="3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1F-473F-8422-726E5F0B12A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3102520"/>
        <c:axId val="963101440"/>
      </c:lineChart>
      <c:catAx>
        <c:axId val="96310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101440"/>
        <c:crosses val="autoZero"/>
        <c:auto val="1"/>
        <c:lblAlgn val="ctr"/>
        <c:lblOffset val="100"/>
        <c:noMultiLvlLbl val="0"/>
      </c:catAx>
      <c:valAx>
        <c:axId val="9631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310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Analisis!$B$104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Analisis!$A$105:$A$109</c:f>
              <c:strCache>
                <c:ptCount val="4"/>
                <c:pt idx="0">
                  <c:v>Tri -  1</c:v>
                </c:pt>
                <c:pt idx="1">
                  <c:v>Tri -  2</c:v>
                </c:pt>
                <c:pt idx="2">
                  <c:v>Tri -  3</c:v>
                </c:pt>
                <c:pt idx="3">
                  <c:v>Tri -  4</c:v>
                </c:pt>
              </c:strCache>
            </c:strRef>
          </c:cat>
          <c:val>
            <c:numRef>
              <c:f>Analisis!$B$105:$B$109</c:f>
              <c:numCache>
                <c:formatCode>0.00%</c:formatCode>
                <c:ptCount val="4"/>
                <c:pt idx="0">
                  <c:v>0.59741379310344922</c:v>
                </c:pt>
                <c:pt idx="1">
                  <c:v>0.61712643678160994</c:v>
                </c:pt>
                <c:pt idx="2">
                  <c:v>0.60660919540229963</c:v>
                </c:pt>
                <c:pt idx="3">
                  <c:v>0.61982758620689737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BD-4513-8FC1-60E2F361E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169040"/>
        <c:axId val="1209170480"/>
      </c:lineChart>
      <c:catAx>
        <c:axId val="12091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09170480"/>
        <c:crosses val="autoZero"/>
        <c:auto val="1"/>
        <c:lblAlgn val="ctr"/>
        <c:lblOffset val="100"/>
        <c:noMultiLvlLbl val="0"/>
      </c:catAx>
      <c:valAx>
        <c:axId val="12091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091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Analisis!$C$194</c:f>
              <c:strCache>
                <c:ptCount val="1"/>
                <c:pt idx="0">
                  <c:v>Cursos aprobados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Analisis!$C$199</c:f>
              <c:numCache>
                <c:formatCode>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6-4B20-8CF2-ACE37CD40B7B}"/>
            </c:ext>
          </c:extLst>
        </c:ser>
        <c:ser>
          <c:idx val="1"/>
          <c:order val="1"/>
          <c:tx>
            <c:strRef>
              <c:f>Analisis!$D$194</c:f>
              <c:strCache>
                <c:ptCount val="1"/>
                <c:pt idx="0">
                  <c:v>Cursos desaprobados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Analisis!$D$199</c:f>
              <c:numCache>
                <c:formatCode>0%</c:formatCode>
                <c:ptCount val="1"/>
                <c:pt idx="0">
                  <c:v>0.33333333333333337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6-4B20-8CF2-ACE37CD40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4978528"/>
        <c:axId val="1234978168"/>
      </c:barChart>
      <c:catAx>
        <c:axId val="1234978528"/>
        <c:scaling>
          <c:orientation val="minMax"/>
        </c:scaling>
        <c:delete val="1"/>
        <c:axPos val="l"/>
        <c:majorTickMark val="none"/>
        <c:minorTickMark val="none"/>
        <c:tickLblPos val="nextTo"/>
        <c:crossAx val="1234978168"/>
        <c:crosses val="autoZero"/>
        <c:auto val="1"/>
        <c:lblAlgn val="ctr"/>
        <c:lblOffset val="100"/>
        <c:noMultiLvlLbl val="0"/>
      </c:catAx>
      <c:valAx>
        <c:axId val="12349781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49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777777777777777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Analisis!$D$221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90B0-4294-B52E-F2BDF3D3A8B7}"/>
              </c:ext>
            </c:extLst>
          </c:dPt>
          <c:dLbls>
            <c:dLbl>
              <c:idx val="4"/>
              <c:layout>
                <c:manualLayout>
                  <c:x val="-2.7777777777777776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B0-4294-B52E-F2BDF3D3A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Analisis!$C$222:$C$228</c:f>
              <c:strCache>
                <c:ptCount val="6"/>
                <c:pt idx="0">
                  <c:v>Comunicación</c:v>
                </c:pt>
                <c:pt idx="1">
                  <c:v>Estadística</c:v>
                </c:pt>
                <c:pt idx="2">
                  <c:v>Física</c:v>
                </c:pt>
                <c:pt idx="3">
                  <c:v>Inglés</c:v>
                </c:pt>
                <c:pt idx="4">
                  <c:v>Matemática</c:v>
                </c:pt>
                <c:pt idx="5">
                  <c:v>Religión</c:v>
                </c:pt>
              </c:strCache>
            </c:strRef>
          </c:cat>
          <c:val>
            <c:numRef>
              <c:f>Analisis!$D$222:$D$228</c:f>
              <c:numCache>
                <c:formatCode>0.00%</c:formatCode>
                <c:ptCount val="6"/>
                <c:pt idx="0">
                  <c:v>0.57913793103448319</c:v>
                </c:pt>
                <c:pt idx="1">
                  <c:v>0.57586206896551762</c:v>
                </c:pt>
                <c:pt idx="2">
                  <c:v>0.60172413793103474</c:v>
                </c:pt>
                <c:pt idx="3">
                  <c:v>0.63103448275862106</c:v>
                </c:pt>
                <c:pt idx="4">
                  <c:v>0.67284482758620756</c:v>
                </c:pt>
                <c:pt idx="5">
                  <c:v>0.60086206896551775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294-B52E-F2BDF3D3A8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34090088"/>
        <c:axId val="1234090448"/>
      </c:radarChart>
      <c:catAx>
        <c:axId val="123409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4090448"/>
        <c:crosses val="autoZero"/>
        <c:auto val="1"/>
        <c:lblAlgn val="ctr"/>
        <c:lblOffset val="100"/>
        <c:noMultiLvlLbl val="0"/>
      </c:catAx>
      <c:valAx>
        <c:axId val="1234090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34090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RENDIMIENTO ACADEMICO.xlsx]Analisis!TablaDinámica18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Analisis!$I$55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Analisis!$H$56:$H$62</c:f>
              <c:strCache>
                <c:ptCount val="6"/>
                <c:pt idx="0">
                  <c:v>Física</c:v>
                </c:pt>
                <c:pt idx="1">
                  <c:v>Inglés</c:v>
                </c:pt>
                <c:pt idx="2">
                  <c:v>Religión</c:v>
                </c:pt>
                <c:pt idx="3">
                  <c:v>Comunicación</c:v>
                </c:pt>
                <c:pt idx="4">
                  <c:v>Estadística</c:v>
                </c:pt>
                <c:pt idx="5">
                  <c:v>Matemática</c:v>
                </c:pt>
              </c:strCache>
            </c:strRef>
          </c:cat>
          <c:val>
            <c:numRef>
              <c:f>Analisis!$I$56:$I$62</c:f>
              <c:numCache>
                <c:formatCode>General</c:formatCode>
                <c:ptCount val="6"/>
                <c:pt idx="0">
                  <c:v>64</c:v>
                </c:pt>
                <c:pt idx="1">
                  <c:v>63</c:v>
                </c:pt>
                <c:pt idx="2">
                  <c:v>61</c:v>
                </c:pt>
                <c:pt idx="3">
                  <c:v>59</c:v>
                </c:pt>
                <c:pt idx="4">
                  <c:v>55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3E0-8A48-95B05566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2935376"/>
        <c:axId val="752937176"/>
      </c:barChart>
      <c:catAx>
        <c:axId val="75293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2937176"/>
        <c:crosses val="autoZero"/>
        <c:auto val="1"/>
        <c:lblAlgn val="ctr"/>
        <c:lblOffset val="100"/>
        <c:noMultiLvlLbl val="0"/>
      </c:catAx>
      <c:valAx>
        <c:axId val="752937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29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Datos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#Analisis!A1"/><Relationship Id="rId5" Type="http://schemas.openxmlformats.org/officeDocument/2006/relationships/chart" Target="../charts/chart5.xml"/><Relationship Id="rId10" Type="http://schemas.openxmlformats.org/officeDocument/2006/relationships/hyperlink" Target="#Dashboard!A1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216696</xdr:colOff>
      <xdr:row>6</xdr:row>
      <xdr:rowOff>166688</xdr:rowOff>
    </xdr:from>
    <xdr:to>
      <xdr:col>8</xdr:col>
      <xdr:colOff>72696</xdr:colOff>
      <xdr:row>23</xdr:row>
      <xdr:rowOff>60188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957085-605F-4A1C-8373-2D8887760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278608</xdr:colOff>
      <xdr:row>6</xdr:row>
      <xdr:rowOff>180325</xdr:rowOff>
    </xdr:from>
    <xdr:to>
      <xdr:col>14</xdr:col>
      <xdr:colOff>134608</xdr:colOff>
      <xdr:row>23</xdr:row>
      <xdr:rowOff>73825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5661D1-FD6C-4C69-8A56-43B664B1B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333374</xdr:colOff>
      <xdr:row>6</xdr:row>
      <xdr:rowOff>180326</xdr:rowOff>
    </xdr:from>
    <xdr:to>
      <xdr:col>20</xdr:col>
      <xdr:colOff>547687</xdr:colOff>
      <xdr:row>23</xdr:row>
      <xdr:rowOff>73826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6BE503-54B5-4030-AA36-E0E42A8D0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214313</xdr:colOff>
      <xdr:row>24</xdr:row>
      <xdr:rowOff>80309</xdr:rowOff>
    </xdr:from>
    <xdr:to>
      <xdr:col>11</xdr:col>
      <xdr:colOff>538313</xdr:colOff>
      <xdr:row>40</xdr:row>
      <xdr:rowOff>164309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D71B26-3E03-481D-BEEF-81FF4D356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369094</xdr:colOff>
      <xdr:row>25</xdr:row>
      <xdr:rowOff>82842</xdr:rowOff>
    </xdr:from>
    <xdr:to>
      <xdr:col>11</xdr:col>
      <xdr:colOff>404813</xdr:colOff>
      <xdr:row>38</xdr:row>
      <xdr:rowOff>100852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ota 1">
              <a:extLst>
                <a:ext uri="{FF2B5EF4-FFF2-40B4-BE49-F238E27FC236}">
                  <a16:creationId xmlns:a16="http://schemas.microsoft.com/office/drawing/2014/main" id="{25A46FE2-8C15-4846-932E-2B55685E9E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9782" y="4869155"/>
              <a:ext cx="797719" cy="2494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750094</xdr:colOff>
      <xdr:row>24</xdr:row>
      <xdr:rowOff>80308</xdr:rowOff>
    </xdr:from>
    <xdr:to>
      <xdr:col>20</xdr:col>
      <xdr:colOff>571501</xdr:colOff>
      <xdr:row>40</xdr:row>
      <xdr:rowOff>164308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EABB04C-F7A0-49A7-9BCC-13D20680A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71437</xdr:colOff>
      <xdr:row>0</xdr:row>
      <xdr:rowOff>0</xdr:rowOff>
    </xdr:from>
    <xdr:to>
      <xdr:col>24</xdr:col>
      <xdr:colOff>261937</xdr:colOff>
      <xdr:row>41</xdr:row>
      <xdr:rowOff>71437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pellidos y Nombres 1">
              <a:extLst>
                <a:ext uri="{FF2B5EF4-FFF2-40B4-BE49-F238E27FC236}">
                  <a16:creationId xmlns:a16="http://schemas.microsoft.com/office/drawing/2014/main" id="{5498D1BF-66E9-4D43-8B75-8A67FDADC9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pellidos y Nomb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64125" y="0"/>
              <a:ext cx="2476500" cy="790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604837</xdr:colOff>
      <xdr:row>195</xdr:row>
      <xdr:rowOff>16019</xdr:rowOff>
    </xdr:from>
    <xdr:to>
      <xdr:col>12</xdr:col>
      <xdr:colOff>61912</xdr:colOff>
      <xdr:row>203</xdr:row>
      <xdr:rowOff>163656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FADD4BC-3563-4DB5-9EE6-B527CA70B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357188</xdr:colOff>
      <xdr:row>28</xdr:row>
      <xdr:rowOff>11477</xdr:rowOff>
    </xdr:from>
    <xdr:to>
      <xdr:col>29</xdr:col>
      <xdr:colOff>559594</xdr:colOff>
      <xdr:row>40</xdr:row>
      <xdr:rowOff>172139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9DB0C56-67E6-47A5-93CF-B217A5360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190500</xdr:colOff>
      <xdr:row>25</xdr:row>
      <xdr:rowOff>179294</xdr:rowOff>
    </xdr:from>
    <xdr:to>
      <xdr:col>1</xdr:col>
      <xdr:colOff>1427156</xdr:colOff>
      <xdr:row>34</xdr:row>
      <xdr:rowOff>71433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ursos 1">
              <a:extLst>
                <a:ext uri="{FF2B5EF4-FFF2-40B4-BE49-F238E27FC236}">
                  <a16:creationId xmlns:a16="http://schemas.microsoft.com/office/drawing/2014/main" id="{6195BA9A-3167-4568-BB21-D23EAC82E9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rs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4965607"/>
              <a:ext cx="2844000" cy="1606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199158</xdr:colOff>
      <xdr:row>35</xdr:row>
      <xdr:rowOff>47626</xdr:rowOff>
    </xdr:from>
    <xdr:to>
      <xdr:col>1</xdr:col>
      <xdr:colOff>1435814</xdr:colOff>
      <xdr:row>41</xdr:row>
      <xdr:rowOff>83341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eriodo 1">
              <a:extLst>
                <a:ext uri="{FF2B5EF4-FFF2-40B4-BE49-F238E27FC236}">
                  <a16:creationId xmlns:a16="http://schemas.microsoft.com/office/drawing/2014/main" id="{EE76B53A-67B4-4553-8378-47F31CBA22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158" y="6738939"/>
              <a:ext cx="2844000" cy="1178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523876</xdr:colOff>
      <xdr:row>8</xdr:row>
      <xdr:rowOff>114300</xdr:rowOff>
    </xdr:from>
    <xdr:to>
      <xdr:col>20</xdr:col>
      <xdr:colOff>309562</xdr:colOff>
      <xdr:row>12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Estado 1">
              <a:extLst>
                <a:ext uri="{FF2B5EF4-FFF2-40B4-BE49-F238E27FC236}">
                  <a16:creationId xmlns:a16="http://schemas.microsoft.com/office/drawing/2014/main" id="{C5AE1A24-DF2F-4C79-97F1-08A350564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2564" y="1662113"/>
              <a:ext cx="4357686" cy="6572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24</xdr:col>
      <xdr:colOff>318378</xdr:colOff>
      <xdr:row>0</xdr:row>
      <xdr:rowOff>166687</xdr:rowOff>
    </xdr:from>
    <xdr:to>
      <xdr:col>29</xdr:col>
      <xdr:colOff>546762</xdr:colOff>
      <xdr:row>5</xdr:row>
      <xdr:rowOff>119528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44BA5042-59C3-4903-1874-C19EC3C5518D}"/>
            </a:ext>
          </a:extLst>
        </xdr:cNvPr>
        <xdr:cNvSpPr/>
      </xdr:nvSpPr>
      <xdr:spPr>
        <a:xfrm>
          <a:off x="20297066" y="166687"/>
          <a:ext cx="4038384" cy="929154"/>
        </a:xfrm>
        <a:prstGeom prst="roundRect">
          <a:avLst/>
        </a:prstGeom>
        <a:gradFill flip="none" rotWithShape="1">
          <a:gsLst>
            <a:gs pos="100000">
              <a:srgbClr val="B2C898"/>
            </a:gs>
            <a:gs pos="0">
              <a:srgbClr val="517C3A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355486</xdr:colOff>
      <xdr:row>2</xdr:row>
      <xdr:rowOff>180913</xdr:rowOff>
    </xdr:from>
    <xdr:to>
      <xdr:col>29</xdr:col>
      <xdr:colOff>481573</xdr:colOff>
      <xdr:row>5</xdr:row>
      <xdr:rowOff>2783</xdr:rowOff>
    </xdr:to>
    <xdr:sp macro="" textlink="Analisis!C135">
      <xdr:nvSpPr>
        <xdr:cNvPr id="19" name="CuadroTexto 18">
          <a:extLst>
            <a:ext uri="{FF2B5EF4-FFF2-40B4-BE49-F238E27FC236}">
              <a16:creationId xmlns:a16="http://schemas.microsoft.com/office/drawing/2014/main" id="{958343AC-8BF3-4A55-96B5-E054115E2D86}"/>
            </a:ext>
          </a:extLst>
        </xdr:cNvPr>
        <xdr:cNvSpPr txBox="1"/>
      </xdr:nvSpPr>
      <xdr:spPr>
        <a:xfrm>
          <a:off x="20334174" y="585726"/>
          <a:ext cx="3936087" cy="3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7D0C95-288C-4C18-9FEC-04B630C9A3F5}" type="TxLink">
            <a:rPr lang="en-US" sz="1200" b="0" i="0" u="none" strike="noStrike">
              <a:solidFill>
                <a:schemeClr val="bg1"/>
              </a:solidFill>
              <a:latin typeface="Aptos Narrow"/>
            </a:rPr>
            <a:pPr algn="ctr"/>
            <a:t>BENAVIDES RAMOS, Carmen Camila</a:t>
          </a:fld>
          <a:endParaRPr lang="es-P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355486</xdr:colOff>
      <xdr:row>0</xdr:row>
      <xdr:rowOff>181378</xdr:rowOff>
    </xdr:from>
    <xdr:to>
      <xdr:col>29</xdr:col>
      <xdr:colOff>481573</xdr:colOff>
      <xdr:row>2</xdr:row>
      <xdr:rowOff>181378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592873B-0812-41A0-9749-20EE2FDEC647}"/>
            </a:ext>
          </a:extLst>
        </xdr:cNvPr>
        <xdr:cNvSpPr txBox="1"/>
      </xdr:nvSpPr>
      <xdr:spPr>
        <a:xfrm>
          <a:off x="18643486" y="181378"/>
          <a:ext cx="3936087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+mn-lt"/>
            </a:rPr>
            <a:t>ESTUDIANTE:</a:t>
          </a:r>
        </a:p>
      </xdr:txBody>
    </xdr:sp>
    <xdr:clientData/>
  </xdr:twoCellAnchor>
  <xdr:twoCellAnchor>
    <xdr:from>
      <xdr:col>25</xdr:col>
      <xdr:colOff>190220</xdr:colOff>
      <xdr:row>5</xdr:row>
      <xdr:rowOff>172043</xdr:rowOff>
    </xdr:from>
    <xdr:to>
      <xdr:col>28</xdr:col>
      <xdr:colOff>501976</xdr:colOff>
      <xdr:row>7</xdr:row>
      <xdr:rowOff>172043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C25A3D4-9AB9-48B5-AB69-BAC93F043229}"/>
            </a:ext>
          </a:extLst>
        </xdr:cNvPr>
        <xdr:cNvSpPr txBox="1"/>
      </xdr:nvSpPr>
      <xdr:spPr>
        <a:xfrm>
          <a:off x="20930908" y="1148356"/>
          <a:ext cx="259775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496E34"/>
              </a:solidFill>
              <a:latin typeface="+mn-lt"/>
            </a:rPr>
            <a:t>PROGRESO:</a:t>
          </a:r>
        </a:p>
      </xdr:txBody>
    </xdr:sp>
    <xdr:clientData/>
  </xdr:twoCellAnchor>
  <xdr:twoCellAnchor>
    <xdr:from>
      <xdr:col>24</xdr:col>
      <xdr:colOff>343116</xdr:colOff>
      <xdr:row>7</xdr:row>
      <xdr:rowOff>111584</xdr:rowOff>
    </xdr:from>
    <xdr:to>
      <xdr:col>29</xdr:col>
      <xdr:colOff>571500</xdr:colOff>
      <xdr:row>10</xdr:row>
      <xdr:rowOff>71437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3879A1E-CAAE-4F4E-AF21-3C265D341F2A}"/>
            </a:ext>
          </a:extLst>
        </xdr:cNvPr>
        <xdr:cNvSpPr/>
      </xdr:nvSpPr>
      <xdr:spPr>
        <a:xfrm>
          <a:off x="20321804" y="1468897"/>
          <a:ext cx="4038384" cy="531353"/>
        </a:xfrm>
        <a:prstGeom prst="roundRect">
          <a:avLst/>
        </a:prstGeom>
        <a:noFill/>
        <a:ln w="12700">
          <a:solidFill>
            <a:srgbClr val="517C3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27</xdr:col>
      <xdr:colOff>631031</xdr:colOff>
      <xdr:row>7</xdr:row>
      <xdr:rowOff>121854</xdr:rowOff>
    </xdr:from>
    <xdr:to>
      <xdr:col>28</xdr:col>
      <xdr:colOff>604062</xdr:colOff>
      <xdr:row>10</xdr:row>
      <xdr:rowOff>30312</xdr:rowOff>
    </xdr:to>
    <xdr:sp macro="" textlink="Analisis!C195">
      <xdr:nvSpPr>
        <xdr:cNvPr id="25" name="CuadroTexto 24">
          <a:extLst>
            <a:ext uri="{FF2B5EF4-FFF2-40B4-BE49-F238E27FC236}">
              <a16:creationId xmlns:a16="http://schemas.microsoft.com/office/drawing/2014/main" id="{F3F66605-A466-4574-BEB3-C74F0339A67A}"/>
            </a:ext>
          </a:extLst>
        </xdr:cNvPr>
        <xdr:cNvSpPr txBox="1"/>
      </xdr:nvSpPr>
      <xdr:spPr>
        <a:xfrm>
          <a:off x="22895719" y="1479167"/>
          <a:ext cx="735031" cy="479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67A46E7-1BDE-4833-A90D-4795D73B7193}" type="TxLink">
            <a:rPr lang="en-US" sz="18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rPr>
            <a:pPr marL="0" indent="0" algn="l"/>
            <a:t>4</a:t>
          </a:fld>
          <a:endParaRPr lang="es-PE" sz="1800" b="0" i="0" u="none" strike="noStrike">
            <a:solidFill>
              <a:srgbClr val="496E3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367857</xdr:colOff>
      <xdr:row>7</xdr:row>
      <xdr:rowOff>187198</xdr:rowOff>
    </xdr:from>
    <xdr:to>
      <xdr:col>27</xdr:col>
      <xdr:colOff>595313</xdr:colOff>
      <xdr:row>9</xdr:row>
      <xdr:rowOff>187198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FB9600-566E-449D-9E32-D8B2249EEC04}"/>
            </a:ext>
          </a:extLst>
        </xdr:cNvPr>
        <xdr:cNvSpPr txBox="1"/>
      </xdr:nvSpPr>
      <xdr:spPr>
        <a:xfrm>
          <a:off x="20346545" y="1544511"/>
          <a:ext cx="251345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0" i="0" u="none" strike="noStrike">
              <a:solidFill>
                <a:srgbClr val="496E34"/>
              </a:solidFill>
              <a:latin typeface="+mn-lt"/>
            </a:rPr>
            <a:t>CURSOS APROBADOS:</a:t>
          </a:r>
        </a:p>
      </xdr:txBody>
    </xdr:sp>
    <xdr:clientData/>
  </xdr:twoCellAnchor>
  <xdr:twoCellAnchor>
    <xdr:from>
      <xdr:col>24</xdr:col>
      <xdr:colOff>354096</xdr:colOff>
      <xdr:row>10</xdr:row>
      <xdr:rowOff>173187</xdr:rowOff>
    </xdr:from>
    <xdr:to>
      <xdr:col>29</xdr:col>
      <xdr:colOff>584678</xdr:colOff>
      <xdr:row>17</xdr:row>
      <xdr:rowOff>107157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7AE91E5F-286A-4F3C-8712-FB7CCE845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226220</xdr:colOff>
      <xdr:row>1</xdr:row>
      <xdr:rowOff>59531</xdr:rowOff>
    </xdr:from>
    <xdr:to>
      <xdr:col>6</xdr:col>
      <xdr:colOff>511970</xdr:colOff>
      <xdr:row>5</xdr:row>
      <xdr:rowOff>142875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1B3B6F97-DE0A-4F1F-8D28-E67953D381ED}"/>
            </a:ext>
          </a:extLst>
        </xdr:cNvPr>
        <xdr:cNvSpPr/>
      </xdr:nvSpPr>
      <xdr:spPr>
        <a:xfrm>
          <a:off x="1750220" y="250031"/>
          <a:ext cx="3333750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190500</xdr:colOff>
      <xdr:row>1</xdr:row>
      <xdr:rowOff>93612</xdr:rowOff>
    </xdr:from>
    <xdr:to>
      <xdr:col>6</xdr:col>
      <xdr:colOff>413305</xdr:colOff>
      <xdr:row>5</xdr:row>
      <xdr:rowOff>95249</xdr:rowOff>
    </xdr:to>
    <xdr:sp macro="" textlink="Analisis!A7">
      <xdr:nvSpPr>
        <xdr:cNvPr id="35" name="CuadroTexto 34">
          <a:extLst>
            <a:ext uri="{FF2B5EF4-FFF2-40B4-BE49-F238E27FC236}">
              <a16:creationId xmlns:a16="http://schemas.microsoft.com/office/drawing/2014/main" id="{D31DA108-21CA-45D3-88C1-75F4DFBBB89A}"/>
            </a:ext>
          </a:extLst>
        </xdr:cNvPr>
        <xdr:cNvSpPr txBox="1"/>
      </xdr:nvSpPr>
      <xdr:spPr>
        <a:xfrm>
          <a:off x="4000500" y="284112"/>
          <a:ext cx="984805" cy="763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283B32-2117-4B9F-BB65-9C7A807E653F}" type="TxLink">
            <a:rPr lang="en-US" sz="19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rPr>
            <a:pPr marL="0" indent="0" algn="l"/>
            <a:t>29</a:t>
          </a:fld>
          <a:endParaRPr lang="en-US" sz="1900" b="0" i="0" u="none" strike="noStrike">
            <a:solidFill>
              <a:srgbClr val="496E3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309562</xdr:colOff>
      <xdr:row>2</xdr:row>
      <xdr:rowOff>4176</xdr:rowOff>
    </xdr:from>
    <xdr:to>
      <xdr:col>5</xdr:col>
      <xdr:colOff>6091</xdr:colOff>
      <xdr:row>5</xdr:row>
      <xdr:rowOff>11906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435A5866-DD2C-4329-9BA3-1BD13CF9354A}"/>
            </a:ext>
          </a:extLst>
        </xdr:cNvPr>
        <xdr:cNvSpPr txBox="1"/>
      </xdr:nvSpPr>
      <xdr:spPr>
        <a:xfrm>
          <a:off x="1833562" y="385176"/>
          <a:ext cx="1982529" cy="579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0" i="0" u="none" strike="noStrike">
              <a:solidFill>
                <a:srgbClr val="496E34"/>
              </a:solidFill>
              <a:latin typeface="+mn-lt"/>
            </a:rPr>
            <a:t>TOTAL DE ESTUDIANTES:</a:t>
          </a:r>
        </a:p>
      </xdr:txBody>
    </xdr:sp>
    <xdr:clientData/>
  </xdr:twoCellAnchor>
  <xdr:twoCellAnchor>
    <xdr:from>
      <xdr:col>6</xdr:col>
      <xdr:colOff>735808</xdr:colOff>
      <xdr:row>1</xdr:row>
      <xdr:rowOff>57150</xdr:rowOff>
    </xdr:from>
    <xdr:to>
      <xdr:col>11</xdr:col>
      <xdr:colOff>259558</xdr:colOff>
      <xdr:row>5</xdr:row>
      <xdr:rowOff>140494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662E0040-D1E2-4A26-A129-EDE6890FAA98}"/>
            </a:ext>
          </a:extLst>
        </xdr:cNvPr>
        <xdr:cNvSpPr/>
      </xdr:nvSpPr>
      <xdr:spPr>
        <a:xfrm>
          <a:off x="5307808" y="247650"/>
          <a:ext cx="3333750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404812</xdr:colOff>
      <xdr:row>1</xdr:row>
      <xdr:rowOff>91231</xdr:rowOff>
    </xdr:from>
    <xdr:to>
      <xdr:col>11</xdr:col>
      <xdr:colOff>160893</xdr:colOff>
      <xdr:row>5</xdr:row>
      <xdr:rowOff>92868</xdr:rowOff>
    </xdr:to>
    <xdr:sp macro="" textlink="Analisis!C7">
      <xdr:nvSpPr>
        <xdr:cNvPr id="53" name="CuadroTexto 52">
          <a:extLst>
            <a:ext uri="{FF2B5EF4-FFF2-40B4-BE49-F238E27FC236}">
              <a16:creationId xmlns:a16="http://schemas.microsoft.com/office/drawing/2014/main" id="{B5A04FA9-4AFB-4D84-89D8-FEEBF249C956}"/>
            </a:ext>
          </a:extLst>
        </xdr:cNvPr>
        <xdr:cNvSpPr txBox="1"/>
      </xdr:nvSpPr>
      <xdr:spPr>
        <a:xfrm>
          <a:off x="7262812" y="281731"/>
          <a:ext cx="1280081" cy="763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476CFE0-9940-4B04-9526-41266DFD2DD2}" type="TxLink">
            <a:rPr lang="en-US" sz="19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rPr>
            <a:pPr marL="0" indent="0" algn="l"/>
            <a:t>61.02%</a:t>
          </a:fld>
          <a:endParaRPr lang="en-US" sz="1900" b="0" i="0" u="none" strike="noStrike">
            <a:solidFill>
              <a:srgbClr val="496E3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57151</xdr:colOff>
      <xdr:row>2</xdr:row>
      <xdr:rowOff>1795</xdr:rowOff>
    </xdr:from>
    <xdr:to>
      <xdr:col>9</xdr:col>
      <xdr:colOff>285751</xdr:colOff>
      <xdr:row>5</xdr:row>
      <xdr:rowOff>9525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CA85B44B-2B4B-4345-A5C5-BAB871E0DB64}"/>
            </a:ext>
          </a:extLst>
        </xdr:cNvPr>
        <xdr:cNvSpPr txBox="1"/>
      </xdr:nvSpPr>
      <xdr:spPr>
        <a:xfrm>
          <a:off x="5391151" y="382795"/>
          <a:ext cx="1752600" cy="579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0" i="0" u="none" strike="noStrike">
              <a:solidFill>
                <a:srgbClr val="496E34"/>
              </a:solidFill>
              <a:latin typeface="+mn-lt"/>
            </a:rPr>
            <a:t>% DE ASISTENCIA:</a:t>
          </a:r>
        </a:p>
      </xdr:txBody>
    </xdr:sp>
    <xdr:clientData/>
  </xdr:twoCellAnchor>
  <xdr:twoCellAnchor>
    <xdr:from>
      <xdr:col>11</xdr:col>
      <xdr:colOff>483396</xdr:colOff>
      <xdr:row>1</xdr:row>
      <xdr:rowOff>54769</xdr:rowOff>
    </xdr:from>
    <xdr:to>
      <xdr:col>16</xdr:col>
      <xdr:colOff>7146</xdr:colOff>
      <xdr:row>5</xdr:row>
      <xdr:rowOff>138113</xdr:rowOff>
    </xdr:to>
    <xdr:sp macro="" textlink="">
      <xdr:nvSpPr>
        <xdr:cNvPr id="55" name="Rectángulo: esquinas redondeadas 54">
          <a:extLst>
            <a:ext uri="{FF2B5EF4-FFF2-40B4-BE49-F238E27FC236}">
              <a16:creationId xmlns:a16="http://schemas.microsoft.com/office/drawing/2014/main" id="{FA361845-B341-4EDF-82A9-5F4F4363EF97}"/>
            </a:ext>
          </a:extLst>
        </xdr:cNvPr>
        <xdr:cNvSpPr/>
      </xdr:nvSpPr>
      <xdr:spPr>
        <a:xfrm>
          <a:off x="8865396" y="245269"/>
          <a:ext cx="3333750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500062</xdr:colOff>
      <xdr:row>1</xdr:row>
      <xdr:rowOff>88850</xdr:rowOff>
    </xdr:from>
    <xdr:to>
      <xdr:col>15</xdr:col>
      <xdr:colOff>670481</xdr:colOff>
      <xdr:row>5</xdr:row>
      <xdr:rowOff>90487</xdr:rowOff>
    </xdr:to>
    <xdr:sp macro="" textlink="Analisis!E7">
      <xdr:nvSpPr>
        <xdr:cNvPr id="56" name="CuadroTexto 55">
          <a:extLst>
            <a:ext uri="{FF2B5EF4-FFF2-40B4-BE49-F238E27FC236}">
              <a16:creationId xmlns:a16="http://schemas.microsoft.com/office/drawing/2014/main" id="{99EBD37D-2CE7-40AB-97E5-F698E8164203}"/>
            </a:ext>
          </a:extLst>
        </xdr:cNvPr>
        <xdr:cNvSpPr txBox="1"/>
      </xdr:nvSpPr>
      <xdr:spPr>
        <a:xfrm>
          <a:off x="11168062" y="279350"/>
          <a:ext cx="932419" cy="763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1C9C658-B778-4A40-B7D6-0F07D15989CF}" type="TxLink">
            <a:rPr lang="en-US" sz="19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rPr>
            <a:pPr marL="0" indent="0" algn="l"/>
            <a:t>353</a:t>
          </a:fld>
          <a:endParaRPr lang="en-US" sz="1900" b="0" i="0" u="none" strike="noStrike">
            <a:solidFill>
              <a:srgbClr val="496E3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566738</xdr:colOff>
      <xdr:row>1</xdr:row>
      <xdr:rowOff>189914</xdr:rowOff>
    </xdr:from>
    <xdr:to>
      <xdr:col>14</xdr:col>
      <xdr:colOff>404812</xdr:colOff>
      <xdr:row>5</xdr:row>
      <xdr:rowOff>7144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E3A6C08E-3EA1-4558-821E-84DB5A6620F6}"/>
            </a:ext>
          </a:extLst>
        </xdr:cNvPr>
        <xdr:cNvSpPr txBox="1"/>
      </xdr:nvSpPr>
      <xdr:spPr>
        <a:xfrm>
          <a:off x="8948738" y="380414"/>
          <a:ext cx="2124074" cy="579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0" i="0" u="none" strike="noStrike">
              <a:solidFill>
                <a:srgbClr val="496E34"/>
              </a:solidFill>
              <a:latin typeface="+mn-lt"/>
            </a:rPr>
            <a:t>ESTUDIANTES APROBADOS:</a:t>
          </a:r>
        </a:p>
      </xdr:txBody>
    </xdr:sp>
    <xdr:clientData/>
  </xdr:twoCellAnchor>
  <xdr:twoCellAnchor>
    <xdr:from>
      <xdr:col>16</xdr:col>
      <xdr:colOff>242889</xdr:colOff>
      <xdr:row>1</xdr:row>
      <xdr:rowOff>52388</xdr:rowOff>
    </xdr:from>
    <xdr:to>
      <xdr:col>20</xdr:col>
      <xdr:colOff>528639</xdr:colOff>
      <xdr:row>5</xdr:row>
      <xdr:rowOff>135732</xdr:rowOff>
    </xdr:to>
    <xdr:sp macro="" textlink="">
      <xdr:nvSpPr>
        <xdr:cNvPr id="58" name="Rectángulo: esquinas redondeadas 57">
          <a:extLst>
            <a:ext uri="{FF2B5EF4-FFF2-40B4-BE49-F238E27FC236}">
              <a16:creationId xmlns:a16="http://schemas.microsoft.com/office/drawing/2014/main" id="{09E4C9BC-52B8-43F4-B9EF-59C064610D01}"/>
            </a:ext>
          </a:extLst>
        </xdr:cNvPr>
        <xdr:cNvSpPr/>
      </xdr:nvSpPr>
      <xdr:spPr>
        <a:xfrm>
          <a:off x="12434889" y="242888"/>
          <a:ext cx="3333750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19</xdr:col>
      <xdr:colOff>345281</xdr:colOff>
      <xdr:row>1</xdr:row>
      <xdr:rowOff>86469</xdr:rowOff>
    </xdr:from>
    <xdr:to>
      <xdr:col>20</xdr:col>
      <xdr:colOff>429974</xdr:colOff>
      <xdr:row>5</xdr:row>
      <xdr:rowOff>88106</xdr:rowOff>
    </xdr:to>
    <xdr:sp macro="" textlink="Analisis!H7">
      <xdr:nvSpPr>
        <xdr:cNvPr id="59" name="CuadroTexto 58">
          <a:extLst>
            <a:ext uri="{FF2B5EF4-FFF2-40B4-BE49-F238E27FC236}">
              <a16:creationId xmlns:a16="http://schemas.microsoft.com/office/drawing/2014/main" id="{649CB3B1-81C3-42FE-AB65-E860DF3D2FAA}"/>
            </a:ext>
          </a:extLst>
        </xdr:cNvPr>
        <xdr:cNvSpPr txBox="1"/>
      </xdr:nvSpPr>
      <xdr:spPr>
        <a:xfrm>
          <a:off x="14823281" y="276969"/>
          <a:ext cx="846693" cy="763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3C04096-373B-4270-8916-7409F07DFF8C}" type="TxLink">
            <a:rPr lang="en-US" sz="19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rPr>
            <a:pPr marL="0" indent="0" algn="l"/>
            <a:t>343</a:t>
          </a:fld>
          <a:endParaRPr lang="en-US" sz="1900" b="0" i="0" u="none" strike="noStrike">
            <a:solidFill>
              <a:srgbClr val="496E3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326231</xdr:colOff>
      <xdr:row>1</xdr:row>
      <xdr:rowOff>187533</xdr:rowOff>
    </xdr:from>
    <xdr:to>
      <xdr:col>19</xdr:col>
      <xdr:colOff>285750</xdr:colOff>
      <xdr:row>5</xdr:row>
      <xdr:rowOff>4763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7668CBA6-F927-438F-9EDD-299A3B834D2D}"/>
            </a:ext>
          </a:extLst>
        </xdr:cNvPr>
        <xdr:cNvSpPr txBox="1"/>
      </xdr:nvSpPr>
      <xdr:spPr>
        <a:xfrm>
          <a:off x="12518231" y="378033"/>
          <a:ext cx="2245519" cy="579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0" i="0" u="none" strike="noStrike">
              <a:solidFill>
                <a:srgbClr val="496E34"/>
              </a:solidFill>
              <a:latin typeface="+mn-lt"/>
            </a:rPr>
            <a:t>ESTUDIANTES DESAPROBADOS:</a:t>
          </a:r>
        </a:p>
      </xdr:txBody>
    </xdr:sp>
    <xdr:clientData/>
  </xdr:twoCellAnchor>
  <xdr:twoCellAnchor>
    <xdr:from>
      <xdr:col>0</xdr:col>
      <xdr:colOff>214313</xdr:colOff>
      <xdr:row>1</xdr:row>
      <xdr:rowOff>45905</xdr:rowOff>
    </xdr:from>
    <xdr:to>
      <xdr:col>1</xdr:col>
      <xdr:colOff>1378969</xdr:colOff>
      <xdr:row>24</xdr:row>
      <xdr:rowOff>95251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ED33419D-0353-403F-84A2-F9DDF1494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250031</xdr:colOff>
      <xdr:row>10</xdr:row>
      <xdr:rowOff>130965</xdr:rowOff>
    </xdr:from>
    <xdr:to>
      <xdr:col>1</xdr:col>
      <xdr:colOff>1345406</xdr:colOff>
      <xdr:row>13</xdr:row>
      <xdr:rowOff>59528</xdr:rowOff>
    </xdr:to>
    <xdr:sp macro="" textlink="">
      <xdr:nvSpPr>
        <xdr:cNvPr id="69" name="CuadroTexto 6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7BE138F-E562-21DF-F03E-8E3300A72AA7}"/>
            </a:ext>
          </a:extLst>
        </xdr:cNvPr>
        <xdr:cNvSpPr txBox="1"/>
      </xdr:nvSpPr>
      <xdr:spPr>
        <a:xfrm>
          <a:off x="250031" y="2059778"/>
          <a:ext cx="2702719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259555</xdr:colOff>
      <xdr:row>14</xdr:row>
      <xdr:rowOff>21429</xdr:rowOff>
    </xdr:from>
    <xdr:to>
      <xdr:col>1</xdr:col>
      <xdr:colOff>1354930</xdr:colOff>
      <xdr:row>16</xdr:row>
      <xdr:rowOff>140492</xdr:rowOff>
    </xdr:to>
    <xdr:sp macro="" textlink="">
      <xdr:nvSpPr>
        <xdr:cNvPr id="70" name="CuadroTexto 6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197A504-D817-4A1A-A7DB-1917A4C16FB2}"/>
            </a:ext>
          </a:extLst>
        </xdr:cNvPr>
        <xdr:cNvSpPr txBox="1"/>
      </xdr:nvSpPr>
      <xdr:spPr>
        <a:xfrm>
          <a:off x="259555" y="2712242"/>
          <a:ext cx="2702719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chemeClr val="bg1"/>
              </a:solidFill>
            </a:rPr>
            <a:t>ANALISIS</a:t>
          </a:r>
        </a:p>
      </xdr:txBody>
    </xdr:sp>
    <xdr:clientData/>
  </xdr:twoCellAnchor>
  <xdr:twoCellAnchor>
    <xdr:from>
      <xdr:col>0</xdr:col>
      <xdr:colOff>257173</xdr:colOff>
      <xdr:row>17</xdr:row>
      <xdr:rowOff>138105</xdr:rowOff>
    </xdr:from>
    <xdr:to>
      <xdr:col>1</xdr:col>
      <xdr:colOff>1352548</xdr:colOff>
      <xdr:row>20</xdr:row>
      <xdr:rowOff>66668</xdr:rowOff>
    </xdr:to>
    <xdr:sp macro="" textlink="">
      <xdr:nvSpPr>
        <xdr:cNvPr id="71" name="CuadroTexto 7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1E6181D-13AE-4E80-9E45-B7BF9C972ED6}"/>
            </a:ext>
          </a:extLst>
        </xdr:cNvPr>
        <xdr:cNvSpPr txBox="1"/>
      </xdr:nvSpPr>
      <xdr:spPr>
        <a:xfrm>
          <a:off x="257173" y="3400418"/>
          <a:ext cx="2702719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chemeClr val="bg1"/>
              </a:solidFill>
            </a:rPr>
            <a:t>DATOS</a:t>
          </a:r>
        </a:p>
      </xdr:txBody>
    </xdr:sp>
    <xdr:clientData/>
  </xdr:twoCellAnchor>
  <xdr:twoCellAnchor>
    <xdr:from>
      <xdr:col>24</xdr:col>
      <xdr:colOff>357186</xdr:colOff>
      <xdr:row>18</xdr:row>
      <xdr:rowOff>21443</xdr:rowOff>
    </xdr:from>
    <xdr:to>
      <xdr:col>29</xdr:col>
      <xdr:colOff>600077</xdr:colOff>
      <xdr:row>27</xdr:row>
      <xdr:rowOff>144609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E8A24519-4A86-21BE-F342-C54C0AA4C0BF}"/>
            </a:ext>
          </a:extLst>
        </xdr:cNvPr>
        <xdr:cNvGrpSpPr/>
      </xdr:nvGrpSpPr>
      <xdr:grpSpPr>
        <a:xfrm>
          <a:off x="20251447" y="3550023"/>
          <a:ext cx="4031244" cy="1876631"/>
          <a:chOff x="20347781" y="6284119"/>
          <a:chExt cx="4052891" cy="1834696"/>
        </a:xfrm>
      </xdr:grpSpPr>
      <xdr:sp macro="" textlink="">
        <xdr:nvSpPr>
          <xdr:cNvPr id="72" name="CuadroTexto 71">
            <a:extLst>
              <a:ext uri="{FF2B5EF4-FFF2-40B4-BE49-F238E27FC236}">
                <a16:creationId xmlns:a16="http://schemas.microsoft.com/office/drawing/2014/main" id="{D33237B1-A3CD-E34F-9755-01A0BC1BD545}"/>
              </a:ext>
            </a:extLst>
          </xdr:cNvPr>
          <xdr:cNvSpPr txBox="1"/>
        </xdr:nvSpPr>
        <xdr:spPr>
          <a:xfrm>
            <a:off x="20347781" y="6286501"/>
            <a:ext cx="2250281" cy="351515"/>
          </a:xfrm>
          <a:prstGeom prst="rect">
            <a:avLst/>
          </a:prstGeom>
          <a:solidFill>
            <a:srgbClr val="7AAA6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s-PE" sz="105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CURSOS</a:t>
            </a:r>
          </a:p>
        </xdr:txBody>
      </xdr:sp>
      <xdr:sp macro="" textlink="">
        <xdr:nvSpPr>
          <xdr:cNvPr id="73" name="CuadroTexto 72">
            <a:extLst>
              <a:ext uri="{FF2B5EF4-FFF2-40B4-BE49-F238E27FC236}">
                <a16:creationId xmlns:a16="http://schemas.microsoft.com/office/drawing/2014/main" id="{948B1C68-30C7-420F-9B32-AEE8169D3F14}"/>
              </a:ext>
            </a:extLst>
          </xdr:cNvPr>
          <xdr:cNvSpPr txBox="1"/>
        </xdr:nvSpPr>
        <xdr:spPr>
          <a:xfrm>
            <a:off x="22631401" y="6284119"/>
            <a:ext cx="1740694" cy="351515"/>
          </a:xfrm>
          <a:prstGeom prst="rect">
            <a:avLst/>
          </a:prstGeom>
          <a:solidFill>
            <a:srgbClr val="7AAA6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s-PE" sz="1050">
                <a:solidFill>
                  <a:schemeClr val="lt1"/>
                </a:solidFill>
                <a:latin typeface="+mn-lt"/>
                <a:ea typeface="+mn-ea"/>
                <a:cs typeface="+mn-cs"/>
              </a:rPr>
              <a:t>NOTAS</a:t>
            </a:r>
          </a:p>
        </xdr:txBody>
      </xdr:sp>
      <xdr:sp macro="" textlink="Analisis!C184">
        <xdr:nvSpPr>
          <xdr:cNvPr id="74" name="CuadroTexto 73">
            <a:extLst>
              <a:ext uri="{FF2B5EF4-FFF2-40B4-BE49-F238E27FC236}">
                <a16:creationId xmlns:a16="http://schemas.microsoft.com/office/drawing/2014/main" id="{55A39B6A-A110-16A9-1F21-BC651E96BAFB}"/>
              </a:ext>
            </a:extLst>
          </xdr:cNvPr>
          <xdr:cNvSpPr txBox="1"/>
        </xdr:nvSpPr>
        <xdr:spPr>
          <a:xfrm>
            <a:off x="20371595" y="6683611"/>
            <a:ext cx="2190750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4F8C932-4CBE-47F4-AF42-9FFF42F11168}" type="TxLink">
              <a:rPr lang="en-US" sz="1100" b="0" i="0" u="none" strike="noStrike">
                <a:solidFill>
                  <a:srgbClr val="496E34"/>
                </a:solidFill>
                <a:latin typeface="Aptos Narrow"/>
              </a:rPr>
              <a:pPr algn="ctr"/>
              <a:t>Comunicación</a:t>
            </a:fld>
            <a:endParaRPr lang="es-PE" sz="1100">
              <a:solidFill>
                <a:srgbClr val="496E34"/>
              </a:solidFill>
            </a:endParaRPr>
          </a:p>
        </xdr:txBody>
      </xdr:sp>
      <xdr:sp macro="" textlink="Analisis!D184">
        <xdr:nvSpPr>
          <xdr:cNvPr id="76" name="CuadroTexto 75">
            <a:extLst>
              <a:ext uri="{FF2B5EF4-FFF2-40B4-BE49-F238E27FC236}">
                <a16:creationId xmlns:a16="http://schemas.microsoft.com/office/drawing/2014/main" id="{030E0593-FF54-46A2-8C71-001E7B2D8B9D}"/>
              </a:ext>
            </a:extLst>
          </xdr:cNvPr>
          <xdr:cNvSpPr txBox="1"/>
        </xdr:nvSpPr>
        <xdr:spPr>
          <a:xfrm>
            <a:off x="22693312" y="6683611"/>
            <a:ext cx="1666875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12E7FA1-8B63-4F73-85E2-995B6941B7B6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C185">
        <xdr:nvSpPr>
          <xdr:cNvPr id="77" name="CuadroTexto 76">
            <a:extLst>
              <a:ext uri="{FF2B5EF4-FFF2-40B4-BE49-F238E27FC236}">
                <a16:creationId xmlns:a16="http://schemas.microsoft.com/office/drawing/2014/main" id="{63BA01B5-8B8A-4F84-9089-541744B5F55A}"/>
              </a:ext>
            </a:extLst>
          </xdr:cNvPr>
          <xdr:cNvSpPr txBox="1"/>
        </xdr:nvSpPr>
        <xdr:spPr>
          <a:xfrm>
            <a:off x="20357309" y="6919357"/>
            <a:ext cx="2190750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F54FA2D-D9D7-4E5A-8A75-52BC1F974485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Estadística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D185">
        <xdr:nvSpPr>
          <xdr:cNvPr id="78" name="CuadroTexto 77">
            <a:extLst>
              <a:ext uri="{FF2B5EF4-FFF2-40B4-BE49-F238E27FC236}">
                <a16:creationId xmlns:a16="http://schemas.microsoft.com/office/drawing/2014/main" id="{7E2502DC-CD10-40F9-B8F7-27A518FD1041}"/>
              </a:ext>
            </a:extLst>
          </xdr:cNvPr>
          <xdr:cNvSpPr txBox="1"/>
        </xdr:nvSpPr>
        <xdr:spPr>
          <a:xfrm>
            <a:off x="22702838" y="6919357"/>
            <a:ext cx="1666875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0F2F9CF-E0DA-4C1C-8FCA-23D9AC90C512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B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C186">
        <xdr:nvSpPr>
          <xdr:cNvPr id="79" name="CuadroTexto 78">
            <a:extLst>
              <a:ext uri="{FF2B5EF4-FFF2-40B4-BE49-F238E27FC236}">
                <a16:creationId xmlns:a16="http://schemas.microsoft.com/office/drawing/2014/main" id="{CDB3DF01-306F-424B-90FB-C3DECF4F745D}"/>
              </a:ext>
            </a:extLst>
          </xdr:cNvPr>
          <xdr:cNvSpPr txBox="1"/>
        </xdr:nvSpPr>
        <xdr:spPr>
          <a:xfrm>
            <a:off x="20354931" y="7167005"/>
            <a:ext cx="2190750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27D6B54-0912-4AD0-B922-9AC24B601592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Física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D186">
        <xdr:nvSpPr>
          <xdr:cNvPr id="80" name="CuadroTexto 79">
            <a:extLst>
              <a:ext uri="{FF2B5EF4-FFF2-40B4-BE49-F238E27FC236}">
                <a16:creationId xmlns:a16="http://schemas.microsoft.com/office/drawing/2014/main" id="{67F8972D-1EC1-4FDE-91A2-FD3E13C93353}"/>
              </a:ext>
            </a:extLst>
          </xdr:cNvPr>
          <xdr:cNvSpPr txBox="1"/>
        </xdr:nvSpPr>
        <xdr:spPr>
          <a:xfrm>
            <a:off x="22712366" y="7167005"/>
            <a:ext cx="1666875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14CEDEF-6A94-4554-915C-7CAF458FA3E0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C187">
        <xdr:nvSpPr>
          <xdr:cNvPr id="81" name="CuadroTexto 80">
            <a:extLst>
              <a:ext uri="{FF2B5EF4-FFF2-40B4-BE49-F238E27FC236}">
                <a16:creationId xmlns:a16="http://schemas.microsoft.com/office/drawing/2014/main" id="{25BE46D3-191D-4E22-88C5-99E1C6780650}"/>
              </a:ext>
            </a:extLst>
          </xdr:cNvPr>
          <xdr:cNvSpPr txBox="1"/>
        </xdr:nvSpPr>
        <xdr:spPr>
          <a:xfrm>
            <a:off x="20357308" y="7395607"/>
            <a:ext cx="2190750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3E2D6DD-8956-474D-B8F5-24D0FECA38BC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Inglés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D187">
        <xdr:nvSpPr>
          <xdr:cNvPr id="82" name="CuadroTexto 81">
            <a:extLst>
              <a:ext uri="{FF2B5EF4-FFF2-40B4-BE49-F238E27FC236}">
                <a16:creationId xmlns:a16="http://schemas.microsoft.com/office/drawing/2014/main" id="{DE74FE95-4EAB-450C-8DC4-EB2671C85286}"/>
              </a:ext>
            </a:extLst>
          </xdr:cNvPr>
          <xdr:cNvSpPr txBox="1"/>
        </xdr:nvSpPr>
        <xdr:spPr>
          <a:xfrm>
            <a:off x="22714743" y="7407512"/>
            <a:ext cx="1666875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7875F3E-F598-4E31-BAAC-F7F0445204B1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C188">
        <xdr:nvSpPr>
          <xdr:cNvPr id="83" name="CuadroTexto 82">
            <a:extLst>
              <a:ext uri="{FF2B5EF4-FFF2-40B4-BE49-F238E27FC236}">
                <a16:creationId xmlns:a16="http://schemas.microsoft.com/office/drawing/2014/main" id="{2348FB00-F767-4ED4-AA6B-836540BBE409}"/>
              </a:ext>
            </a:extLst>
          </xdr:cNvPr>
          <xdr:cNvSpPr txBox="1"/>
        </xdr:nvSpPr>
        <xdr:spPr>
          <a:xfrm>
            <a:off x="20354928" y="7643959"/>
            <a:ext cx="2190750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E5C28E3-780F-40DC-AFDD-F50B66CFBFB8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Matemática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D188">
        <xdr:nvSpPr>
          <xdr:cNvPr id="84" name="CuadroTexto 83">
            <a:extLst>
              <a:ext uri="{FF2B5EF4-FFF2-40B4-BE49-F238E27FC236}">
                <a16:creationId xmlns:a16="http://schemas.microsoft.com/office/drawing/2014/main" id="{41570BEC-3C60-423A-AEFB-30F06F232872}"/>
              </a:ext>
            </a:extLst>
          </xdr:cNvPr>
          <xdr:cNvSpPr txBox="1"/>
        </xdr:nvSpPr>
        <xdr:spPr>
          <a:xfrm>
            <a:off x="22724269" y="7655164"/>
            <a:ext cx="1666875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7E30719-450A-470C-9F25-484A25906032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B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C189">
        <xdr:nvSpPr>
          <xdr:cNvPr id="85" name="CuadroTexto 84">
            <a:extLst>
              <a:ext uri="{FF2B5EF4-FFF2-40B4-BE49-F238E27FC236}">
                <a16:creationId xmlns:a16="http://schemas.microsoft.com/office/drawing/2014/main" id="{63A995E0-E5CD-46C1-ABC3-D47664605E86}"/>
              </a:ext>
            </a:extLst>
          </xdr:cNvPr>
          <xdr:cNvSpPr txBox="1"/>
        </xdr:nvSpPr>
        <xdr:spPr>
          <a:xfrm>
            <a:off x="20352550" y="7902815"/>
            <a:ext cx="2190750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64C90A6-7A64-4FEF-95FF-409CAF8CFE59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Religión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alisis!D189">
        <xdr:nvSpPr>
          <xdr:cNvPr id="86" name="CuadroTexto 85">
            <a:extLst>
              <a:ext uri="{FF2B5EF4-FFF2-40B4-BE49-F238E27FC236}">
                <a16:creationId xmlns:a16="http://schemas.microsoft.com/office/drawing/2014/main" id="{18866CB9-9D40-4EB5-956B-C19F595312AF}"/>
              </a:ext>
            </a:extLst>
          </xdr:cNvPr>
          <xdr:cNvSpPr txBox="1"/>
        </xdr:nvSpPr>
        <xdr:spPr>
          <a:xfrm>
            <a:off x="22733797" y="7902815"/>
            <a:ext cx="1666875" cy="21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8D28B0B-23B7-4EC5-8E4C-A46D9DAD7D84}" type="TxLink">
              <a:rPr lang="en-US" sz="1100" b="0" i="0" u="none" strike="noStrike">
                <a:solidFill>
                  <a:srgbClr val="496E34"/>
                </a:solidFill>
                <a:latin typeface="Aptos Narrow"/>
                <a:ea typeface="+mn-ea"/>
                <a:cs typeface="+mn-cs"/>
              </a:rPr>
              <a:pPr marL="0" indent="0" algn="ctr"/>
              <a:t>A</a:t>
            </a:fld>
            <a:endParaRPr lang="es-PE" sz="11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0.01406</cdr:x>
      <cdr:y>0.00141</cdr:y>
    </cdr:from>
    <cdr:to>
      <cdr:x>0.52685</cdr:x>
      <cdr:y>0.36123</cdr:y>
    </cdr:to>
    <cdr:sp macro="" textlink="">
      <cdr:nvSpPr>
        <cdr:cNvPr id="2" name="CuadroTexto 27">
          <a:extLst xmlns:a="http://schemas.openxmlformats.org/drawingml/2006/main">
            <a:ext uri="{FF2B5EF4-FFF2-40B4-BE49-F238E27FC236}">
              <a16:creationId xmlns:a16="http://schemas.microsoft.com/office/drawing/2014/main" id="{637593F5-D093-4553-8402-EDEB72FB46E8}"/>
            </a:ext>
          </a:extLst>
        </cdr:cNvPr>
        <cdr:cNvSpPr txBox="1"/>
      </cdr:nvSpPr>
      <cdr:spPr>
        <a:xfrm xmlns:a="http://schemas.openxmlformats.org/drawingml/2006/main">
          <a:off x="56827" y="1783"/>
          <a:ext cx="2071962" cy="4560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="0" i="0" u="none" strike="noStrike">
              <a:solidFill>
                <a:srgbClr val="496E34"/>
              </a:solidFill>
              <a:latin typeface="+mn-lt"/>
            </a:rPr>
            <a:t>RENDIMIENTO:</a:t>
          </a:r>
        </a:p>
      </cdr:txBody>
    </cdr:sp>
  </cdr:relSizeAnchor>
  <cdr:relSizeAnchor xmlns:cdr="http://schemas.openxmlformats.org/drawingml/2006/chartDrawing">
    <cdr:from>
      <cdr:x>0.53706</cdr:x>
      <cdr:y>0.01366</cdr:y>
    </cdr:from>
    <cdr:to>
      <cdr:x>0.97603</cdr:x>
      <cdr:y>0.3496</cdr:y>
    </cdr:to>
    <cdr:sp macro="" textlink="">
      <cdr:nvSpPr>
        <cdr:cNvPr id="3" name="CuadroTexto 28">
          <a:extLst xmlns:a="http://schemas.openxmlformats.org/drawingml/2006/main">
            <a:ext uri="{FF2B5EF4-FFF2-40B4-BE49-F238E27FC236}">
              <a16:creationId xmlns:a16="http://schemas.microsoft.com/office/drawing/2014/main" id="{48E97C1B-F632-40A6-A98A-361C5CD0ED24}"/>
            </a:ext>
          </a:extLst>
        </cdr:cNvPr>
        <cdr:cNvSpPr txBox="1"/>
      </cdr:nvSpPr>
      <cdr:spPr>
        <a:xfrm xmlns:a="http://schemas.openxmlformats.org/drawingml/2006/main">
          <a:off x="2170029" y="17313"/>
          <a:ext cx="1773690" cy="425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A030BCF3-6E08-4271-970B-EE9B1272E24E}" type="TxLink">
            <a:rPr lang="en-US" sz="1400" b="0" i="0" u="none" strike="noStrike">
              <a:solidFill>
                <a:srgbClr val="496E34"/>
              </a:solidFill>
              <a:latin typeface="Aptos Narrow"/>
              <a:ea typeface="+mn-ea"/>
              <a:cs typeface="+mn-cs"/>
            </a:rPr>
            <a:pPr marL="0" indent="0" algn="l"/>
            <a:t>67%</a:t>
          </a:fld>
          <a:endParaRPr lang="en-US" sz="1400" b="0" i="0" u="none" strike="noStrike">
            <a:solidFill>
              <a:srgbClr val="496E34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280555</xdr:colOff>
      <xdr:row>13</xdr:row>
      <xdr:rowOff>3030</xdr:rowOff>
    </xdr:from>
    <xdr:to>
      <xdr:col>7</xdr:col>
      <xdr:colOff>648566</xdr:colOff>
      <xdr:row>27</xdr:row>
      <xdr:rowOff>79230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256045-0A7B-7BE8-82F5-44B22A0E6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219074</xdr:colOff>
      <xdr:row>31</xdr:row>
      <xdr:rowOff>109536</xdr:rowOff>
    </xdr:from>
    <xdr:to>
      <xdr:col>6</xdr:col>
      <xdr:colOff>47624</xdr:colOff>
      <xdr:row>46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784155-8A82-A6AD-11C1-AE6747D31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781050</xdr:colOff>
      <xdr:row>50</xdr:row>
      <xdr:rowOff>14287</xdr:rowOff>
    </xdr:from>
    <xdr:to>
      <xdr:col>6</xdr:col>
      <xdr:colOff>161925</xdr:colOff>
      <xdr:row>64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9A4B4E0-89B3-9C15-8F56-6F4D42B3B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247650</xdr:colOff>
      <xdr:row>82</xdr:row>
      <xdr:rowOff>4762</xdr:rowOff>
    </xdr:from>
    <xdr:to>
      <xdr:col>6</xdr:col>
      <xdr:colOff>561975</xdr:colOff>
      <xdr:row>96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491276-3EBF-7BC1-F517-E461E2DB3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723900</xdr:colOff>
      <xdr:row>82</xdr:row>
      <xdr:rowOff>0</xdr:rowOff>
    </xdr:from>
    <xdr:to>
      <xdr:col>8</xdr:col>
      <xdr:colOff>130752</xdr:colOff>
      <xdr:row>87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ota">
              <a:extLst>
                <a:ext uri="{FF2B5EF4-FFF2-40B4-BE49-F238E27FC236}">
                  <a16:creationId xmlns:a16="http://schemas.microsoft.com/office/drawing/2014/main" id="{43D682C9-7815-DACF-610F-776C845CDC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5425" y="15621000"/>
              <a:ext cx="1835727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257175</xdr:colOff>
      <xdr:row>110</xdr:row>
      <xdr:rowOff>33337</xdr:rowOff>
    </xdr:from>
    <xdr:to>
      <xdr:col>4</xdr:col>
      <xdr:colOff>323850</xdr:colOff>
      <xdr:row>124</xdr:row>
      <xdr:rowOff>109537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163B9AE-6CDD-B214-719F-7F74141EA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685800</xdr:colOff>
      <xdr:row>132</xdr:row>
      <xdr:rowOff>161924</xdr:rowOff>
    </xdr:from>
    <xdr:to>
      <xdr:col>6</xdr:col>
      <xdr:colOff>739487</xdr:colOff>
      <xdr:row>159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pellidos y Nombres">
              <a:extLst>
                <a:ext uri="{FF2B5EF4-FFF2-40B4-BE49-F238E27FC236}">
                  <a16:creationId xmlns:a16="http://schemas.microsoft.com/office/drawing/2014/main" id="{0393CA3F-467C-1914-45DA-8C6DC40B51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pellidos y Nomb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9425" y="25307924"/>
              <a:ext cx="2301587" cy="5162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633412</xdr:colOff>
      <xdr:row>202</xdr:row>
      <xdr:rowOff>38099</xdr:rowOff>
    </xdr:from>
    <xdr:to>
      <xdr:col>4</xdr:col>
      <xdr:colOff>709612</xdr:colOff>
      <xdr:row>210</xdr:row>
      <xdr:rowOff>185736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7375713-2A44-9FA3-A269-44D39954C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450272</xdr:colOff>
      <xdr:row>215</xdr:row>
      <xdr:rowOff>100446</xdr:rowOff>
    </xdr:from>
    <xdr:to>
      <xdr:col>8</xdr:col>
      <xdr:colOff>207818</xdr:colOff>
      <xdr:row>229</xdr:row>
      <xdr:rowOff>176646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A9CA5EC-0779-31D6-F522-49ECC3447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358485</xdr:colOff>
      <xdr:row>235</xdr:row>
      <xdr:rowOff>13855</xdr:rowOff>
    </xdr:from>
    <xdr:to>
      <xdr:col>1</xdr:col>
      <xdr:colOff>514349</xdr:colOff>
      <xdr:row>249</xdr:row>
      <xdr:rowOff>13855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ursos">
              <a:extLst>
                <a:ext uri="{FF2B5EF4-FFF2-40B4-BE49-F238E27FC236}">
                  <a16:creationId xmlns:a16="http://schemas.microsoft.com/office/drawing/2014/main" id="{7072BBDF-1260-6023-69DA-B2AE7F41F7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rs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85" y="44781355"/>
              <a:ext cx="1822739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1285007</xdr:colOff>
      <xdr:row>236</xdr:row>
      <xdr:rowOff>74469</xdr:rowOff>
    </xdr:from>
    <xdr:to>
      <xdr:col>3</xdr:col>
      <xdr:colOff>223402</xdr:colOff>
      <xdr:row>250</xdr:row>
      <xdr:rowOff>74469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eriodo">
              <a:extLst>
                <a:ext uri="{FF2B5EF4-FFF2-40B4-BE49-F238E27FC236}">
                  <a16:creationId xmlns:a16="http://schemas.microsoft.com/office/drawing/2014/main" id="{A600D6BE-64D8-33AB-33AE-ECF69A5C0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2357" y="45032469"/>
              <a:ext cx="182447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180975</xdr:colOff>
      <xdr:row>50</xdr:row>
      <xdr:rowOff>47625</xdr:rowOff>
    </xdr:from>
    <xdr:to>
      <xdr:col>15</xdr:col>
      <xdr:colOff>180975</xdr:colOff>
      <xdr:row>64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334F432-EC69-3D43-89B0-F87335514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466725</xdr:colOff>
      <xdr:row>44</xdr:row>
      <xdr:rowOff>38100</xdr:rowOff>
    </xdr:from>
    <xdr:to>
      <xdr:col>7</xdr:col>
      <xdr:colOff>1533525</xdr:colOff>
      <xdr:row>49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Estado">
              <a:extLst>
                <a:ext uri="{FF2B5EF4-FFF2-40B4-BE49-F238E27FC236}">
                  <a16:creationId xmlns:a16="http://schemas.microsoft.com/office/drawing/2014/main" id="{C3DF68EA-CB7D-CCCA-8418-27BC5515FA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8250" y="8420100"/>
              <a:ext cx="18288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601704629633" backgroundQuery="1" createdVersion="8" refreshedVersion="8" minRefreshableVersion="3" recordCount="0" supportSubquery="1" supportAdvancedDrill="1" xr:uid="{9542EC06-4943-47BF-B7C4-FC8296769F39}">
  <cacheSource type="external" connectionId="1"/>
  <cacheFields count="2">
    <cacheField name="[tablaDatos].[Nota].[Nota]" caption="Nota" numFmtId="0" hierarchy="25" level="1">
      <sharedItems count="4">
        <s v="A"/>
        <s v="AD"/>
        <s v="B"/>
        <s v="C"/>
      </sharedItems>
    </cacheField>
    <cacheField name="[Measures].[Recuento de Apellidos y Nombres 2]" caption="Recuento de Apellidos y Nombres 2" numFmtId="0" hierarchy="36" level="32767"/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0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0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2" memberValueDatatype="130" unbalanced="0">
      <fieldsUsage count="2">
        <fieldUsage x="-1"/>
        <fieldUsage x="0"/>
      </fieldsUsage>
    </cacheHierarchy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588462037034" backgroundQuery="1" createdVersion="8" refreshedVersion="8" minRefreshableVersion="3" recordCount="0" supportSubquery="1" supportAdvancedDrill="1" xr:uid="{A06FAE93-DCD2-4E49-BD96-13385FB17D6F}">
  <cacheSource type="external" connectionId="1"/>
  <cacheFields count="1">
    <cacheField name="[Measures].[Recuento distinto de Apellidos y Nombres]" caption="Recuento distinto de Apellidos y Nombres" numFmtId="0" hierarchy="32" level="32767"/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0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0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2460416667" backgroundQuery="1" createdVersion="8" refreshedVersion="8" minRefreshableVersion="3" recordCount="0" supportSubquery="1" supportAdvancedDrill="1" xr:uid="{3728602E-0074-4A2B-B0B0-B1F26F672C39}">
  <cacheSource type="external" connectionId="1"/>
  <cacheFields count="2">
    <cacheField name="[Datos].[Nota].[Nota]" caption="Nota" numFmtId="0" hierarchy="11" level="1">
      <sharedItems count="1">
        <s v="A"/>
      </sharedItems>
    </cacheField>
    <cacheField name="[Datos].[Apellidos y Nombres].[Apellidos y Nombres]" caption="Apellidos y Nombres" numFmtId="0" hierarchy="2" level="1">
      <sharedItems count="29">
        <s v="BENAVIDES RAMOS, Carmen Camila"/>
        <s v="BUSTAMANTE LOPEZ, Juana Rosa"/>
        <s v="CASTRO LLOSA, Manuel Santos"/>
        <s v="CHAVEZ RIVERO, Pedro Juan"/>
        <s v="CORNEJO MALDONADO, Ana Francisca"/>
        <s v="DEL CAMPO HURTADO, Miguel Julio"/>
        <s v="DELGADO ZEGARRA, Luz Alexia"/>
        <s v="DIAZ PAREDES, Ángel Segundo"/>
        <s v="ESPINOZA SALAS, Santos Ángel"/>
        <s v="FLORES GONZALEZ, Jorge Fernando"/>
        <s v="GARCIA SEMINARIO, Juan Javier"/>
        <s v="GONZALES PIZARRO, Julia Ana"/>
        <s v="HERRERA MARTINEZ, Jhon David"/>
        <s v="LARCO GOMEZ, Flor Ariana"/>
        <s v="MENDOZA DE LA FUENTE, Segundo"/>
        <s v="MORALES ALVAREZ, Daniel Víctor"/>
        <s v="PACHECO FERNANDEZ, César Jesús"/>
        <s v="PEREZ VASQUEZ, Ruth Camila"/>
        <s v="RIVERA SOTO, Jesús Pedro"/>
        <s v="RODRIGUEZ RAMIREZ, María Diana"/>
        <s v="ROJAS CACERES, Víctor Alejandro"/>
        <s v="ROMERO NIETO, Julio Manuel"/>
        <s v="RUIZ VALENCIA, David Diego"/>
        <s v="SALAZAR GUTIERREZ, Rosa Milagros"/>
        <s v="SANCHEZ LEON, Diego Daniel"/>
        <s v="TORRES CASTILLO, Carlos Walter"/>
        <s v="VALDIVIA ALVARADO, Elizabeth Luz"/>
        <s v="VARGAS SILVA, José Marco"/>
        <s v="YUPANQUI DE LA TORRE, Luis Edwin"/>
      </sharedItems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0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>
      <fieldsUsage count="2">
        <fieldUsage x="-1"/>
        <fieldUsage x="1"/>
      </fieldsUsage>
    </cacheHierarchy>
    <cacheHierarchy uniqueName="[Datos].[Cursos]" caption="Cursos" attribute="1" defaultMemberUniqueName="[Datos].[Cursos].[All]" allUniqueName="[Datos].[Cursos].[All]" dimensionUniqueName="[Datos]" displayFolder="" count="0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>
      <fieldsUsage count="2">
        <fieldUsage x="-1"/>
        <fieldUsage x="0"/>
      </fieldsUsage>
    </cacheHierarchy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2460648145" backgroundQuery="1" createdVersion="8" refreshedVersion="8" minRefreshableVersion="3" recordCount="0" supportSubquery="1" supportAdvancedDrill="1" xr:uid="{E63B2DA8-508E-4AB2-AEA6-6DE75F928BFF}">
  <cacheSource type="external" connectionId="1"/>
  <cacheFields count="3">
    <cacheField name="[Datos].[Nota].[Nota]" caption="Nota" numFmtId="0" hierarchy="11" level="1">
      <sharedItems count="1">
        <s v="A"/>
      </sharedItems>
    </cacheField>
    <cacheField name="[Measures].[Recuento distinto de Cursos]" caption="Recuento distinto de Cursos" numFmtId="0" hierarchy="39" level="32767"/>
    <cacheField name="[Datos].[Apellidos y Nombres].[Apellidos y Nombres]" caption="Apellidos y Nombres" numFmtId="0" hierarchy="2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0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>
      <fieldsUsage count="2">
        <fieldUsage x="-1"/>
        <fieldUsage x="2"/>
      </fieldsUsage>
    </cacheHierarchy>
    <cacheHierarchy uniqueName="[Datos].[Cursos]" caption="Cursos" attribute="1" defaultMemberUniqueName="[Datos].[Cursos].[All]" allUniqueName="[Datos].[Cursos].[All]" dimensionUniqueName="[Datos]" displayFolder="" count="0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>
      <fieldsUsage count="2">
        <fieldUsage x="-1"/>
        <fieldUsage x="0"/>
      </fieldsUsage>
    </cacheHierarchy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2461111114" backgroundQuery="1" createdVersion="8" refreshedVersion="8" minRefreshableVersion="3" recordCount="0" supportSubquery="1" supportAdvancedDrill="1" xr:uid="{B5DD28E3-24D6-45EA-B09E-FA02C024644A}">
  <cacheSource type="external" connectionId="1"/>
  <cacheFields count="4">
    <cacheField name="[Datos].[Nota].[Nota]" caption="Nota" numFmtId="0" hierarchy="11" level="1">
      <sharedItems count="1">
        <s v="A"/>
      </sharedItems>
    </cacheField>
    <cacheField name="[Datos].[Cursos].[Cursos]" caption="Cursos" numFmtId="0" hierarchy="3" level="1">
      <sharedItems count="6">
        <s v="Comunicación"/>
        <s v="Estadística"/>
        <s v="Física"/>
        <s v="Inglés"/>
        <s v="Matemática"/>
        <s v="Religión"/>
      </sharedItems>
    </cacheField>
    <cacheField name="[Measures].[Promedio de Promedio Final]" caption="Promedio de Promedio Final" numFmtId="0" hierarchy="41" level="32767"/>
    <cacheField name="[Datos].[Apellidos y Nombres].[Apellidos y Nombres]" caption="Apellidos y Nombres" numFmtId="0" hierarchy="2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0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>
      <fieldsUsage count="2">
        <fieldUsage x="-1"/>
        <fieldUsage x="3"/>
      </fieldsUsage>
    </cacheHierarchy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1"/>
      </fieldsUsage>
    </cacheHierarchy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>
      <fieldsUsage count="2">
        <fieldUsage x="-1"/>
        <fieldUsage x="0"/>
      </fieldsUsage>
    </cacheHierarchy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246145833" backgroundQuery="1" createdVersion="8" refreshedVersion="8" minRefreshableVersion="3" recordCount="0" supportSubquery="1" supportAdvancedDrill="1" xr:uid="{2188C0E1-D079-4269-B36F-1E223DA8695B}">
  <cacheSource type="external" connectionId="1"/>
  <cacheFields count="4">
    <cacheField name="[Datos].[Nota].[Nota]" caption="Nota" numFmtId="0" hierarchy="11" level="1">
      <sharedItems count="1">
        <s v="A"/>
      </sharedItems>
    </cacheField>
    <cacheField name="[Datos].[Cursos].[Cursos]" caption="Cursos" numFmtId="0" hierarchy="3" level="1">
      <sharedItems count="6">
        <s v="Comunicación"/>
        <s v="Estadística"/>
        <s v="Física"/>
        <s v="Inglés"/>
        <s v="Matemática"/>
        <s v="Religión"/>
      </sharedItems>
    </cacheField>
    <cacheField name="[Measures].[Promedio de %Asistencia]" caption="Promedio de %Asistencia" numFmtId="0" hierarchy="34" level="32767"/>
    <cacheField name="[Datos].[Apellidos y Nombres].[Apellidos y Nombres]" caption="Apellidos y Nombres" numFmtId="0" hierarchy="2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0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>
      <fieldsUsage count="2">
        <fieldUsage x="-1"/>
        <fieldUsage x="3"/>
      </fieldsUsage>
    </cacheHierarchy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1"/>
      </fieldsUsage>
    </cacheHierarchy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>
      <fieldsUsage count="2">
        <fieldUsage x="-1"/>
        <fieldUsage x="0"/>
      </fieldsUsage>
    </cacheHierarchy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3784722" backgroundQuery="1" createdVersion="8" refreshedVersion="8" minRefreshableVersion="3" recordCount="0" supportSubquery="1" supportAdvancedDrill="1" xr:uid="{6435FFC8-9618-43C4-AA87-9BC2C8404BCF}">
  <cacheSource type="external" connectionId="1"/>
  <cacheFields count="4">
    <cacheField name="[Datos].[Nota].[Nota]" caption="Nota" numFmtId="0" hierarchy="11" level="1">
      <sharedItems count="4">
        <s v="A"/>
        <s v="AD" u="1"/>
        <s v="B" u="1"/>
        <s v="C" u="1"/>
      </sharedItems>
    </cacheField>
    <cacheField name="[Datos].[Periodo].[Periodo]" caption="Periodo" numFmtId="0" hierarchy="1" level="1">
      <sharedItems count="4">
        <s v="Tri -  1"/>
        <s v="Tri -  2"/>
        <s v="Tri -  3"/>
        <s v="Tri -  4"/>
      </sharedItems>
    </cacheField>
    <cacheField name="[Measures].[Recuento de Nota]" caption="Recuento de Nota" numFmtId="0" hierarchy="37" level="32767"/>
    <cacheField name="[Datos].[Cursos].[Cursos]" caption="Cursos" numFmtId="0" hierarchy="3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1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3"/>
      </fieldsUsage>
    </cacheHierarchy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>
      <fieldsUsage count="2">
        <fieldUsage x="-1"/>
        <fieldUsage x="0"/>
      </fieldsUsage>
    </cacheHierarchy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38310182" backgroundQuery="1" createdVersion="8" refreshedVersion="8" minRefreshableVersion="3" recordCount="0" supportSubquery="1" supportAdvancedDrill="1" xr:uid="{DD00BF26-F9A1-4375-BCE2-4062E0806FB1}">
  <cacheSource type="external" connectionId="1"/>
  <cacheFields count="3">
    <cacheField name="[Measures].[Promedio de %Asistencia]" caption="Promedio de %Asistencia" numFmtId="0" hierarchy="34" level="32767"/>
    <cacheField name="[Datos].[Periodo].[Periodo]" caption="Periodo" numFmtId="0" hierarchy="1" level="1">
      <sharedItems count="4">
        <s v="Tri -  1"/>
        <s v="Tri -  2"/>
        <s v="Tri -  3"/>
        <s v="Tri -  4"/>
      </sharedItems>
    </cacheField>
    <cacheField name="[Datos].[Cursos].[Cursos]" caption="Cursos" numFmtId="0" hierarchy="3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1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2"/>
      </fieldsUsage>
    </cacheHierarchy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7800927" backgroundQuery="1" createdVersion="8" refreshedVersion="8" minRefreshableVersion="3" recordCount="0" supportSubquery="1" supportAdvancedDrill="1" xr:uid="{61A6D967-1AF1-4313-A6A6-B0361D924F78}">
  <cacheSource type="external" connectionId="1"/>
  <cacheFields count="2">
    <cacheField name="[Measures].[Promedio de %Asistencia]" caption="Promedio de %Asistencia" numFmtId="0" hierarchy="34" level="32767"/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2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1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/>
    <cacheHierarchy uniqueName="[Datos].[Nota 1]" caption="Nota 1" attribute="1" defaultMemberUniqueName="[Datos].[Nota 1].[All]" allUniqueName="[Datos].[Nota 1].[All]" dimensionUniqueName="[Datos]" displayFolder="" count="2" memberValueDatatype="20" unbalanced="0"/>
    <cacheHierarchy uniqueName="[Datos].[Nota 2]" caption="Nota 2" attribute="1" defaultMemberUniqueName="[Datos].[Nota 2].[All]" allUniqueName="[Datos].[Nota 2].[All]" dimensionUniqueName="[Datos]" displayFolder="" count="2" memberValueDatatype="20" unbalanced="0"/>
    <cacheHierarchy uniqueName="[Datos].[Nota 3]" caption="Nota 3" attribute="1" defaultMemberUniqueName="[Datos].[Nota 3].[All]" allUniqueName="[Datos].[Nota 3].[All]" dimensionUniqueName="[Datos]" displayFolder="" count="2" memberValueDatatype="20" unbalanced="0"/>
    <cacheHierarchy uniqueName="[Datos].[Nota 4]" caption="Nota 4" attribute="1" defaultMemberUniqueName="[Datos].[Nota 4].[All]" allUniqueName="[Datos].[Nota 4].[All]" dimensionUniqueName="[Datos]" displayFolder="" count="2" memberValueDatatype="20" unbalanced="0"/>
    <cacheHierarchy uniqueName="[Datos].[Trabajos]" caption="Trabajos" attribute="1" defaultMemberUniqueName="[Datos].[Trabajos].[All]" allUniqueName="[Datos].[Trabajos].[All]" dimensionUniqueName="[Datos]" displayFolder="" count="2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2" memberValueDatatype="5" unbalanced="0"/>
    <cacheHierarchy uniqueName="[Datos].[Redondear]" caption="Redondear" attribute="1" defaultMemberUniqueName="[Datos].[Redondear].[All]" allUniqueName="[Datos].[Redondear].[All]" dimensionUniqueName="[Datos]" displayFolder="" count="2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/>
    <cacheHierarchy uniqueName="[Datos].[Estado]" caption="Estado" attribute="1" defaultMemberUniqueName="[Datos].[Estado].[All]" allUniqueName="[Datos].[Estado].[All]" dimensionUniqueName="[Datos]" displayFolder="" count="2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2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2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2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2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2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2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2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2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2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2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2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2" memberValueDatatype="20" unbalanced="0"/>
    <cacheHierarchy uniqueName="[tablaDatos].[Nota]" caption="Nota" attribute="1" defaultMemberUniqueName="[tablaDatos].[Nota].[All]" allUniqueName="[tablaDatos].[Nota].[All]" dimensionUniqueName="[tablaDatos]" displayFolder="" count="2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2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2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8032404" backgroundQuery="1" createdVersion="8" refreshedVersion="8" minRefreshableVersion="3" recordCount="0" supportSubquery="1" supportAdvancedDrill="1" xr:uid="{8CBB97EE-2EC8-4404-BF37-016EA980AB82}">
  <cacheSource type="external" connectionId="1"/>
  <cacheFields count="3">
    <cacheField name="[Datos].[Estado].[Estado]" caption="Estado" numFmtId="0" hierarchy="12" level="1">
      <sharedItems containsSemiMixedTypes="0" containsNonDate="0" containsString="0"/>
    </cacheField>
    <cacheField name="[Measures].[Recuento de Estado]" caption="Recuento de Estado" numFmtId="0" hierarchy="35" level="32767"/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2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2" memberValueDatatype="130" unbalanced="0">
      <fieldsUsage count="2">
        <fieldUsage x="-1"/>
        <fieldUsage x="0"/>
      </fieldsUsage>
    </cacheHierarchy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814815" backgroundQuery="1" createdVersion="8" refreshedVersion="8" minRefreshableVersion="3" recordCount="0" supportSubquery="1" supportAdvancedDrill="1" xr:uid="{28CCE92A-08E0-4165-8C97-DF26AC1CBB59}">
  <cacheSource type="external" connectionId="1"/>
  <cacheFields count="3">
    <cacheField name="[Datos].[Estado].[Estado]" caption="Estado" numFmtId="0" hierarchy="12" level="1">
      <sharedItems containsSemiMixedTypes="0" containsNonDate="0" containsString="0"/>
    </cacheField>
    <cacheField name="[Measures].[Recuento de Estado]" caption="Recuento de Estado" numFmtId="0" hierarchy="35" level="32767"/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2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2" memberValueDatatype="130" unbalanced="0">
      <fieldsUsage count="2">
        <fieldUsage x="-1"/>
        <fieldUsage x="0"/>
      </fieldsUsage>
    </cacheHierarchy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8611112" backgroundQuery="1" createdVersion="8" refreshedVersion="8" minRefreshableVersion="3" recordCount="0" supportSubquery="1" supportAdvancedDrill="1" xr:uid="{698E2D89-3429-48CC-8530-FA73D82FF5A5}">
  <cacheSource type="external" connectionId="1"/>
  <cacheFields count="3">
    <cacheField name="[tablaDatos].[Nota].[Nota]" caption="Nota" numFmtId="0" hierarchy="25" level="1">
      <sharedItems count="4">
        <s v="A"/>
        <s v="AD"/>
        <s v="B"/>
        <s v="C"/>
      </sharedItems>
    </cacheField>
    <cacheField name="[Measures].[Recuento de Apellidos y Nombres 2]" caption="Recuento de Apellidos y Nombres 2" numFmtId="0" hierarchy="36" level="32767"/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2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2" memberValueDatatype="130" unbalanced="0">
      <fieldsUsage count="2">
        <fieldUsage x="-1"/>
        <fieldUsage x="0"/>
      </fieldsUsage>
    </cacheHierarchy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9074074" backgroundQuery="1" createdVersion="8" refreshedVersion="8" minRefreshableVersion="3" recordCount="0" supportSubquery="1" supportAdvancedDrill="1" xr:uid="{15CE445A-A132-4A59-B117-F096A20110AA}">
  <cacheSource type="external" connectionId="1"/>
  <cacheFields count="3">
    <cacheField name="[Measures].[Promedio de %Asistencia]" caption="Promedio de %Asistencia" numFmtId="0" hierarchy="34" level="32767"/>
    <cacheField name="[Datos].[Cursos].[Cursos]" caption="Cursos" numFmtId="0" hierarchy="3" level="1">
      <sharedItems count="6">
        <s v="Comunicación"/>
        <s v="Estadística"/>
        <s v="Física"/>
        <s v="Inglés"/>
        <s v="Matemática"/>
        <s v="Religión"/>
      </sharedItems>
    </cacheField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2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1"/>
      </fieldsUsage>
    </cacheHierarchy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0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9421297" backgroundQuery="1" createdVersion="8" refreshedVersion="8" minRefreshableVersion="3" recordCount="0" supportSubquery="1" supportAdvancedDrill="1" xr:uid="{128BEC70-35EC-4B9F-B646-450E203F398D}">
  <cacheSource type="external" connectionId="1"/>
  <cacheFields count="4">
    <cacheField name="[Datos].[Estado].[Estado]" caption="Estado" numFmtId="0" hierarchy="12" level="1">
      <sharedItems containsSemiMixedTypes="0" containsNonDate="0" containsString="0"/>
    </cacheField>
    <cacheField name="[Measures].[Recuento de Estado]" caption="Recuento de Estado" numFmtId="0" hierarchy="35" level="32767"/>
    <cacheField name="[Datos].[Cursos].[Cursos]" caption="Cursos" numFmtId="0" hierarchy="3" level="1">
      <sharedItems count="6">
        <s v="Comunicación"/>
        <s v="Estadística"/>
        <s v="Física"/>
        <s v="Inglés"/>
        <s v="Matemática"/>
        <s v="Religión"/>
      </sharedItems>
    </cacheField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2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3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2"/>
      </fieldsUsage>
    </cacheHierarchy>
    <cacheHierarchy uniqueName="[Datos].[Nota 1]" caption="Nota 1" attribute="1" defaultMemberUniqueName="[Datos].[Nota 1].[All]" allUniqueName="[Datos].[Nota 1].[All]" dimensionUniqueName="[Datos]" displayFolder="" count="2" memberValueDatatype="20" unbalanced="0"/>
    <cacheHierarchy uniqueName="[Datos].[Nota 2]" caption="Nota 2" attribute="1" defaultMemberUniqueName="[Datos].[Nota 2].[All]" allUniqueName="[Datos].[Nota 2].[All]" dimensionUniqueName="[Datos]" displayFolder="" count="2" memberValueDatatype="20" unbalanced="0"/>
    <cacheHierarchy uniqueName="[Datos].[Nota 3]" caption="Nota 3" attribute="1" defaultMemberUniqueName="[Datos].[Nota 3].[All]" allUniqueName="[Datos].[Nota 3].[All]" dimensionUniqueName="[Datos]" displayFolder="" count="2" memberValueDatatype="20" unbalanced="0"/>
    <cacheHierarchy uniqueName="[Datos].[Nota 4]" caption="Nota 4" attribute="1" defaultMemberUniqueName="[Datos].[Nota 4].[All]" allUniqueName="[Datos].[Nota 4].[All]" dimensionUniqueName="[Datos]" displayFolder="" count="2" memberValueDatatype="20" unbalanced="0"/>
    <cacheHierarchy uniqueName="[Datos].[Trabajos]" caption="Trabajos" attribute="1" defaultMemberUniqueName="[Datos].[Trabajos].[All]" allUniqueName="[Datos].[Trabajos].[All]" dimensionUniqueName="[Datos]" displayFolder="" count="2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2" memberValueDatatype="5" unbalanced="0"/>
    <cacheHierarchy uniqueName="[Datos].[Redondear]" caption="Redondear" attribute="1" defaultMemberUniqueName="[Datos].[Redondear].[All]" allUniqueName="[Datos].[Redondear].[All]" dimensionUniqueName="[Datos]" displayFolder="" count="2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/>
    <cacheHierarchy uniqueName="[Datos].[Estado]" caption="Estado" attribute="1" defaultMemberUniqueName="[Datos].[Estado].[All]" allUniqueName="[Datos].[Estado].[All]" dimensionUniqueName="[Datos]" displayFolder="" count="2" memberValueDatatype="130" unbalanced="0">
      <fieldsUsage count="2">
        <fieldUsage x="-1"/>
        <fieldUsage x="0"/>
      </fieldsUsage>
    </cacheHierarchy>
    <cacheHierarchy uniqueName="[Datos].[%Asistencia]" caption="%Asistencia" attribute="1" defaultMemberUniqueName="[Datos].[%Asistencia].[All]" allUniqueName="[Datos].[%Asistencia].[All]" dimensionUniqueName="[Datos]" displayFolder="" count="2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2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2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2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2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2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2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2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2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2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2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2" memberValueDatatype="20" unbalanced="0"/>
    <cacheHierarchy uniqueName="[tablaDatos].[Nota]" caption="Nota" attribute="1" defaultMemberUniqueName="[tablaDatos].[Nota].[All]" allUniqueName="[tablaDatos].[Nota].[All]" dimensionUniqueName="[tablaDatos]" displayFolder="" count="2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2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2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966249999998" backgroundQuery="1" createdVersion="8" refreshedVersion="8" minRefreshableVersion="3" recordCount="0" supportSubquery="1" supportAdvancedDrill="1" xr:uid="{00AB8346-CF28-4EFB-AD28-07046CB9610D}">
  <cacheSource type="external" connectionId="1"/>
  <cacheFields count="4">
    <cacheField name="[Datos].[Estado].[Estado]" caption="Estado" numFmtId="0" hierarchy="12" level="1">
      <sharedItems containsSemiMixedTypes="0" containsNonDate="0" containsString="0"/>
    </cacheField>
    <cacheField name="[Measures].[Recuento de Estado]" caption="Recuento de Estado" numFmtId="0" hierarchy="35" level="32767"/>
    <cacheField name="[Datos].[Cursos].[Cursos]" caption="Cursos" numFmtId="0" hierarchy="3" level="1">
      <sharedItems count="6">
        <s v="Comunicación"/>
        <s v="Estadística"/>
        <s v="Física"/>
        <s v="Inglés"/>
        <s v="Matemática"/>
        <s v="Religión"/>
      </sharedItems>
    </cacheField>
    <cacheField name="[Datos].[Periodo].[Periodo]" caption="Periodo" numFmtId="0" hierarchy="1" level="1">
      <sharedItems containsSemiMixedTypes="0" containsNonDate="0" containsString="0"/>
    </cacheField>
  </cacheFields>
  <cacheHierarchies count="42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>
      <fieldsUsage count="2">
        <fieldUsage x="-1"/>
        <fieldUsage x="3"/>
      </fieldsUsage>
    </cacheHierarchy>
    <cacheHierarchy uniqueName="[Datos].[Apellidos y Nombres]" caption="Apellidos y Nombres" attribute="1" defaultMemberUniqueName="[Datos].[Apellidos y Nombres].[All]" allUniqueName="[Datos].[Apellidos y Nombres].[All]" dimensionUniqueName="[Datos]" displayFolder="" count="0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>
      <fieldsUsage count="2">
        <fieldUsage x="-1"/>
        <fieldUsage x="2"/>
      </fieldsUsage>
    </cacheHierarchy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0" memberValueDatatype="130" unbalanced="0"/>
    <cacheHierarchy uniqueName="[Datos].[Estado]" caption="Estado" attribute="1" defaultMemberUniqueName="[Datos].[Estado].[All]" allUniqueName="[Datos].[Estado].[All]" dimensionUniqueName="[Datos]" displayFolder="" count="2" memberValueDatatype="130" unbalanced="0">
      <fieldsUsage count="2">
        <fieldUsage x="-1"/>
        <fieldUsage x="0"/>
      </fieldsUsage>
    </cacheHierarchy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Cursos]" caption="Recue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Cursos]" caption="Recuento distinto de Cursos" measure="1" displayFolder="" measureGroup="Dato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romedio Final]" caption="Suma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Promedio de Promedio Final]" caption="Promedio de Promedio Final" measure="1" displayFolder="" measureGroup="Da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os" uniqueName="[Datos]" caption="Datos"/>
    <dimension measure="1" name="Measures" uniqueName="[Measures]" caption="Measures"/>
    <dimension name="tablaDatos" uniqueName="[tablaDatos]" caption="tablaDatos"/>
  </dimensions>
  <measureGroups count="2">
    <measureGroup name="Datos" caption="Datos"/>
    <measureGroup name="tablaDatos" caption="tablaDato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ull name" refreshedDate="46078.619120370371" backgroundQuery="1" createdVersion="3" refreshedVersion="8" minRefreshableVersion="3" recordCount="0" supportSubquery="1" supportAdvancedDrill="1" xr:uid="{A74DE482-ACC3-4583-A8EC-8CB57E83D9F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Datos].[# de Orden]" caption="# de Orden" attribute="1" defaultMemberUniqueName="[Datos].[# de Orden].[All]" allUniqueName="[Datos].[# de Orden].[All]" dimensionUniqueName="[Datos]" displayFolder="" count="0" memberValueDatatype="130" unbalanced="0"/>
    <cacheHierarchy uniqueName="[Datos].[Periodo]" caption="Periodo" attribute="1" defaultMemberUniqueName="[Datos].[Periodo].[All]" allUniqueName="[Datos].[Periodo].[All]" dimensionUniqueName="[Datos]" displayFolder="" count="2" memberValueDatatype="130" unbalanced="0"/>
    <cacheHierarchy uniqueName="[Datos].[Apellidos y Nombres]" caption="Apellidos y Nombres" attribute="1" defaultMemberUniqueName="[Datos].[Apellidos y Nombres].[All]" allUniqueName="[Datos].[Apellidos y Nombres].[All]" dimensionUniqueName="[Datos]" displayFolder="" count="2" memberValueDatatype="130" unbalanced="0"/>
    <cacheHierarchy uniqueName="[Datos].[Cursos]" caption="Cursos" attribute="1" defaultMemberUniqueName="[Datos].[Cursos].[All]" allUniqueName="[Datos].[Cursos].[All]" dimensionUniqueName="[Datos]" displayFolder="" count="2" memberValueDatatype="130" unbalanced="0"/>
    <cacheHierarchy uniqueName="[Datos].[Nota 1]" caption="Nota 1" attribute="1" defaultMemberUniqueName="[Datos].[Nota 1].[All]" allUniqueName="[Datos].[Nota 1].[All]" dimensionUniqueName="[Datos]" displayFolder="" count="0" memberValueDatatype="20" unbalanced="0"/>
    <cacheHierarchy uniqueName="[Datos].[Nota 2]" caption="Nota 2" attribute="1" defaultMemberUniqueName="[Datos].[Nota 2].[All]" allUniqueName="[Datos].[Nota 2].[All]" dimensionUniqueName="[Datos]" displayFolder="" count="0" memberValueDatatype="20" unbalanced="0"/>
    <cacheHierarchy uniqueName="[Datos].[Nota 3]" caption="Nota 3" attribute="1" defaultMemberUniqueName="[Datos].[Nota 3].[All]" allUniqueName="[Datos].[Nota 3].[All]" dimensionUniqueName="[Datos]" displayFolder="" count="0" memberValueDatatype="20" unbalanced="0"/>
    <cacheHierarchy uniqueName="[Datos].[Nota 4]" caption="Nota 4" attribute="1" defaultMemberUniqueName="[Datos].[Nota 4].[All]" allUniqueName="[Datos].[Nota 4].[All]" dimensionUniqueName="[Datos]" displayFolder="" count="0" memberValueDatatype="20" unbalanced="0"/>
    <cacheHierarchy uniqueName="[Datos].[Trabajos]" caption="Trabajos" attribute="1" defaultMemberUniqueName="[Datos].[Trabajos].[All]" allUniqueName="[Datos].[Trabajos].[All]" dimensionUniqueName="[Datos]" displayFolder="" count="0" memberValueDatatype="20" unbalanced="0"/>
    <cacheHierarchy uniqueName="[Datos].[Promedio Final]" caption="Promedio Final" attribute="1" defaultMemberUniqueName="[Datos].[Promedio Final].[All]" allUniqueName="[Datos].[Promedio Final].[All]" dimensionUniqueName="[Datos]" displayFolder="" count="0" memberValueDatatype="5" unbalanced="0"/>
    <cacheHierarchy uniqueName="[Datos].[Redondear]" caption="Redondear" attribute="1" defaultMemberUniqueName="[Datos].[Redondear].[All]" allUniqueName="[Datos].[Redondear].[All]" dimensionUniqueName="[Datos]" displayFolder="" count="0" memberValueDatatype="20" unbalanced="0"/>
    <cacheHierarchy uniqueName="[Datos].[Nota]" caption="Nota" attribute="1" defaultMemberUniqueName="[Datos].[Nota].[All]" allUniqueName="[Datos].[Nota].[All]" dimensionUniqueName="[Datos]" displayFolder="" count="2" memberValueDatatype="130" unbalanced="0"/>
    <cacheHierarchy uniqueName="[Datos].[Estado]" caption="Estado" attribute="1" defaultMemberUniqueName="[Datos].[Estado].[All]" allUniqueName="[Datos].[Estado].[All]" dimensionUniqueName="[Datos]" displayFolder="" count="2" memberValueDatatype="130" unbalanced="0"/>
    <cacheHierarchy uniqueName="[Datos].[%Asistencia]" caption="%Asistencia" attribute="1" defaultMemberUniqueName="[Datos].[%Asistencia].[All]" allUniqueName="[Datos].[%Asistencia].[All]" dimensionUniqueName="[Datos]" displayFolder="" count="0" memberValueDatatype="5" unbalanced="0"/>
    <cacheHierarchy uniqueName="[tablaDatos].[# de Orden]" caption="# de Orden" attribute="1" defaultMemberUniqueName="[tablaDatos].[# de Orden].[All]" allUniqueName="[tablaDatos].[# de Orden].[All]" dimensionUniqueName="[tablaDatos]" displayFolder="" count="0" memberValueDatatype="130" unbalanced="0"/>
    <cacheHierarchy uniqueName="[tablaDatos].[Periodo]" caption="Periodo" attribute="1" defaultMemberUniqueName="[tablaDatos].[Periodo].[All]" allUniqueName="[tablaDatos].[Periodo].[All]" dimensionUniqueName="[tablaDatos]" displayFolder="" count="0" memberValueDatatype="130" unbalanced="0"/>
    <cacheHierarchy uniqueName="[tablaDatos].[Apellidos y Nombres]" caption="Apellidos y Nombres" attribute="1" defaultMemberUniqueName="[tablaDatos].[Apellidos y Nombres].[All]" allUniqueName="[tablaDatos].[Apellidos y Nombres].[All]" dimensionUniqueName="[tablaDatos]" displayFolder="" count="0" memberValueDatatype="130" unbalanced="0"/>
    <cacheHierarchy uniqueName="[tablaDatos].[Cursos]" caption="Cursos" attribute="1" defaultMemberUniqueName="[tablaDatos].[Cursos].[All]" allUniqueName="[tablaDatos].[Cursos].[All]" dimensionUniqueName="[tablaDatos]" displayFolder="" count="0" memberValueDatatype="130" unbalanced="0"/>
    <cacheHierarchy uniqueName="[tablaDatos].[Nota 1]" caption="Nota 1" attribute="1" defaultMemberUniqueName="[tablaDatos].[Nota 1].[All]" allUniqueName="[tablaDatos].[Nota 1].[All]" dimensionUniqueName="[tablaDatos]" displayFolder="" count="0" memberValueDatatype="20" unbalanced="0"/>
    <cacheHierarchy uniqueName="[tablaDatos].[Nota 2]" caption="Nota 2" attribute="1" defaultMemberUniqueName="[tablaDatos].[Nota 2].[All]" allUniqueName="[tablaDatos].[Nota 2].[All]" dimensionUniqueName="[tablaDatos]" displayFolder="" count="0" memberValueDatatype="20" unbalanced="0"/>
    <cacheHierarchy uniqueName="[tablaDatos].[Nota 3]" caption="Nota 3" attribute="1" defaultMemberUniqueName="[tablaDatos].[Nota 3].[All]" allUniqueName="[tablaDatos].[Nota 3].[All]" dimensionUniqueName="[tablaDatos]" displayFolder="" count="0" memberValueDatatype="20" unbalanced="0"/>
    <cacheHierarchy uniqueName="[tablaDatos].[Nota 4]" caption="Nota 4" attribute="1" defaultMemberUniqueName="[tablaDatos].[Nota 4].[All]" allUniqueName="[tablaDatos].[Nota 4].[All]" dimensionUniqueName="[tablaDatos]" displayFolder="" count="0" memberValueDatatype="20" unbalanced="0"/>
    <cacheHierarchy uniqueName="[tablaDatos].[Trabajos]" caption="Trabajos" attribute="1" defaultMemberUniqueName="[tablaDatos].[Trabajos].[All]" allUniqueName="[tablaDatos].[Trabajos].[All]" dimensionUniqueName="[tablaDatos]" displayFolder="" count="0" memberValueDatatype="20" unbalanced="0"/>
    <cacheHierarchy uniqueName="[tablaDatos].[Promedio Final]" caption="Promedio Final" attribute="1" defaultMemberUniqueName="[tablaDatos].[Promedio Final].[All]" allUniqueName="[tablaDatos].[Promedio Final].[All]" dimensionUniqueName="[tablaDatos]" displayFolder="" count="0" memberValueDatatype="5" unbalanced="0"/>
    <cacheHierarchy uniqueName="[tablaDatos].[Redondear]" caption="Redondear" attribute="1" defaultMemberUniqueName="[tablaDatos].[Redondear].[All]" allUniqueName="[tablaDatos].[Redondear].[All]" dimensionUniqueName="[tablaDatos]" displayFolder="" count="0" memberValueDatatype="20" unbalanced="0"/>
    <cacheHierarchy uniqueName="[tablaDatos].[Nota]" caption="Nota" attribute="1" defaultMemberUniqueName="[tablaDatos].[Nota].[All]" allUniqueName="[tablaDatos].[Nota].[All]" dimensionUniqueName="[tablaDatos]" displayFolder="" count="0" memberValueDatatype="130" unbalanced="0"/>
    <cacheHierarchy uniqueName="[tablaDatos].[Estado]" caption="Estado" attribute="1" defaultMemberUniqueName="[tablaDatos].[Estado].[All]" allUniqueName="[tablaDatos].[Estado].[All]" dimensionUniqueName="[tablaDatos]" displayFolder="" count="0" memberValueDatatype="130" unbalanced="0"/>
    <cacheHierarchy uniqueName="[tablaDatos].[%Asistencia]" caption="%Asistencia" attribute="1" defaultMemberUniqueName="[tablaDatos].[%Asistencia].[All]" allUniqueName="[tablaDatos].[%Asistencia].[All]" dimensionUniqueName="[tabla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XL_Count tablaDatos]" caption="__XL_Count tablaDatos" measure="1" displayFolder="" measureGroup="tablaDatos" count="0" hidden="1"/>
    <cacheHierarchy uniqueName="[Measures].[__No measures defined]" caption="__No measures defined" measure="1" displayFolder="" count="0" hidden="1"/>
    <cacheHierarchy uniqueName="[Measures].[Recuento de Apellidos y Nombres]" caption="Recue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Apellidos y Nombres]" caption="Recuento distinto de Apellidos y Nombres" measure="1" displayFolder="" measureGroup="Da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%Asistencia]" caption="Suma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Promedio de %Asistencia]" caption="Promedio de %Asistencia" measure="1" displayFolder="" measureGroup="Dat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Estado]" caption="Recuento de Estado" measure="1" displayFolder="" measureGroup="Dato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Apellidos y Nombres 2]" caption="Recuento de Apellidos y Nombres 2" measure="1" displayFolder="" measureGroup="tablaDato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Nota]" caption="Recuento de Nota" measure="1" displayFolder="" measureGroup="D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4353334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B258B-AE64-4FCE-B3C3-2E1BA9BDD317}" name="TablaDinámica15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73:A174" firstHeaderRow="1" firstDataRow="1" firstDataCol="0"/>
  <pivotFields count="3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Recuento distinto de Curso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19">
      <pivotArea type="all" dataOnly="0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pivotHierarchies count="42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 caption="Recuento distinto de Curso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7542-DD07-498E-8CB8-4CFA81921242}" name="TablaDinámica9" cacheId="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B28" firstHeaderRow="1" firstDataRow="1" firstDataCol="1"/>
  <pivotFields count="2">
    <pivotField axis="axisRow" allDrilled="1" subtotalTop="0" showAll="0" defaultSubtotal="0" defaultAttributeDrillState="1">
      <items count="4">
        <item x="1"/>
        <item x="0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Apellidos y Nombres" fld="1" subtotal="count" showDataAs="percentOfTotal" baseField="0" baseItem="0" numFmtId="1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ablaDatos">
        <x15:activeTabTopLevelEntity name="[tabla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09C18-6773-4355-A041-42BD38FF6575}" name="TablaDinámica1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Recuento distinto de Apellidos y Nombre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D7479-7410-4F97-9BA2-6C7B2C79A601}" name="TablaDinámica14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34:A164" firstHeaderRow="1" firstDataRow="1" firstDataCol="1"/>
  <pivotFields count="2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formats count="3">
    <format dxfId="22">
      <pivotArea type="all" dataOnly="0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pivotHierarchies count="42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4DE23-FC84-4558-B31F-730EFB955E6D}" name="TablaDinámica8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4:B19" firstHeaderRow="1" firstDataRow="1" firstDataCol="1"/>
  <pivotFields count="3">
    <pivotField axis="axisRow" allDrilled="1" subtotalTop="0" showAll="0" defaultSubtotal="0" defaultAttributeDrillState="1">
      <items count="4">
        <item x="3"/>
        <item x="2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Apellidos y Nombre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ablaDatos">
        <x15:activeTabTopLevelEntity name="[tablaDatos]"/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9F9A5-6304-4662-BC02-1732BF61C999}" name="TablaDinámica13" cacheId="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04:B10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%Asistencia" fld="0" subtotal="average" baseField="0" baseItem="0" numFmtId="10"/>
  </dataFields>
  <formats count="3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2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1A023-18AD-476C-94FA-ED66CE2FF236}" name="TablaDinámica18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H55:I62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7">
    <i>
      <x v="2"/>
    </i>
    <i>
      <x v="3"/>
    </i>
    <i>
      <x v="5"/>
    </i>
    <i>
      <x/>
    </i>
    <i>
      <x v="1"/>
    </i>
    <i>
      <x v="4"/>
    </i>
    <i t="grand">
      <x/>
    </i>
  </rowItems>
  <colItems count="1">
    <i/>
  </colItems>
  <pageFields count="1">
    <pageField fld="0" hier="12" name="[Datos].[Estado].&amp;[Aprobado]" cap="Aprobado"/>
  </pageFields>
  <dataFields count="1">
    <dataField name="Recuento de Estado" fld="1" subtotal="count" baseField="0" baseItem="0"/>
  </dataFields>
  <formats count="3">
    <format dxfId="28">
      <pivotArea type="all" dataOnly="0" outline="0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5F072-BA63-4010-86CE-49A3DAC631FF}" name="TablaDinámica17" cacheId="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C221:D228" firstHeaderRow="1" firstDataRow="1" firstDataCol="1"/>
  <pivotFields count="4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%Asistencia" fld="2" subtotal="average" baseField="1" baseItem="2" numFmtId="10"/>
  </dataFields>
  <formats count="3">
    <format dxfId="31">
      <pivotArea type="all" dataOnly="0" outline="0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42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 caption="Recuento distinto de Cursos"/>
    <pivotHierarchy dragToData="1"/>
    <pivotHierarchy dragToData="1" caption="Promedio de Promedio Final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27F56-4F55-4815-8549-2A31F3827783}" name="TablaDinámica4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pageFields count="1">
    <pageField fld="0" hier="12" name="[Datos].[Estado].&amp;[Desaprobado]" cap="Desaprobado"/>
  </pageFields>
  <dataFields count="1">
    <dataField name="Recuento de Estado" fld="1" subtotal="count" baseField="0" baseItem="0"/>
  </dataFields>
  <formats count="3">
    <format dxfId="34">
      <pivotArea type="all" dataOnly="0" outline="0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</formats>
  <pivotHierarchies count="4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341F5-1A6B-4461-AD34-E7CFF9D0D49F}" name="TablaDinámica12" cacheId="8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8">
  <location ref="A73:C79" firstHeaderRow="1" firstDataRow="2" firstDataCol="1"/>
  <pivotFields count="4">
    <pivotField axis="axisCol" allDrilled="1" subtotalTop="0" showAll="0" dataSourceSort="1" defaultSubtotal="0" defaultAttributeDrillState="1">
      <items count="4">
        <item s="1"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2">
    <i>
      <x/>
    </i>
    <i t="grand">
      <x/>
    </i>
  </colItems>
  <dataFields count="1">
    <dataField name="Recuento de Nota" fld="2" subtotal="count" baseField="0" baseItem="0"/>
  </dataFields>
  <formats count="3">
    <format dxfId="37">
      <pivotArea type="all" dataOnly="0" outline="0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</format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Hierarchies count="42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9E940-13E2-4AC1-BAF7-2F52AC821BC5}" name="TablaDinámica16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C173:D180" firstHeaderRow="1" firstDataRow="1" firstDataCol="1"/>
  <pivotFields count="4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romedio Final" fld="2" subtotal="average" baseField="1" baseItem="0"/>
  </dataFields>
  <formats count="3">
    <format dxfId="40">
      <pivotArea type="all" dataOnly="0" outline="0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</formats>
  <pivotHierarchies count="42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 caption="Recuento distinto de Cursos"/>
    <pivotHierarchy dragToData="1"/>
    <pivotHierarchy dragToData="1" caption="Promedio de Promedio Final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345F6-7C88-4CB3-9653-6A8E2881581C}" name="TablaDinámica3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pageFields count="1">
    <pageField fld="0" hier="12" name="[Datos].[Estado].&amp;[Aprobado]" cap="Aprobado"/>
  </pageFields>
  <dataFields count="1">
    <dataField name="Recuento de Estado" fld="1" subtotal="count" baseField="0" baseItem="0"/>
  </dataFields>
  <formats count="3">
    <format dxfId="43">
      <pivotArea type="all" dataOnly="0" outline="0" fieldPosition="0"/>
    </format>
    <format dxfId="42">
      <pivotArea dataOnly="0" labelOnly="1" outline="0" axis="axisValues" fieldPosition="0"/>
    </format>
    <format dxfId="41">
      <pivotArea outline="0" collapsedLevelsAreSubtotals="1" fieldPosition="0"/>
    </format>
  </formats>
  <pivotHierarchies count="4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DC789-7D5F-4FC2-AC61-A24B9E5C9266}" name="TablaDinámica11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55:B62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7">
    <i>
      <x v="2"/>
    </i>
    <i>
      <x v="3"/>
    </i>
    <i>
      <x v="5"/>
    </i>
    <i>
      <x/>
    </i>
    <i>
      <x v="1"/>
    </i>
    <i>
      <x v="4"/>
    </i>
    <i t="grand">
      <x/>
    </i>
  </rowItems>
  <colItems count="1">
    <i/>
  </colItems>
  <pageFields count="1">
    <pageField fld="0" hier="12" name="[Datos].[Estado].&amp;[Aprobado]" cap="Aprobado"/>
  </pageFields>
  <dataFields count="1">
    <dataField name="Recuento de Estado" fld="1" subtotal="count" baseField="0" baseItem="0"/>
  </dataFields>
  <formats count="3">
    <format dxfId="46">
      <pivotArea type="all" dataOnly="0" outline="0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2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os].[Estado].&amp;[Aprob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165AC-074D-4384-B032-2BF0BCE87055}" name="TablaDinámica2" cacheId="9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C4:C5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Promedio de %Asistencia" fld="0" subtotal="average" baseField="0" baseItem="0" numFmtId="10"/>
  </dataFields>
  <formats count="3"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pivotHierarchies count="4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09B07-C98F-45A6-A8EE-1D7B0B33E5C2}" name="TablaDinámica10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38:B4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%Asistencia" fld="0" subtotal="average" baseField="0" baseItem="0" numFmtId="10"/>
  </dataFields>
  <formats count="3"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</format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4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Apellidos y Nombres"/>
    <pivotHierarchy dragToData="1"/>
    <pivotHierarchy dragToData="1" caption="Promedio de %Asistenci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ta" xr10:uid="{A9A1F47A-96D0-4EDC-BC77-93834B8E6D12}" sourceName="[Datos].[Nota]">
  <pivotTables>
    <pivotTable tabId="1" name="TablaDinámica12"/>
  </pivotTables>
  <data>
    <olap pivotCacheId="1043533348">
      <levels count="2">
        <level uniqueName="[Datos].[Nota].[(All)]" sourceCaption="(All)" count="0"/>
        <level uniqueName="[Datos].[Nota].[Nota]" sourceCaption="Nota" count="4">
          <ranges>
            <range startItem="0">
              <i n="[Datos].[Nota].&amp;[A]" c="A"/>
              <i n="[Datos].[Nota].&amp;[AD]" c="AD"/>
              <i n="[Datos].[Nota].&amp;[B]" c="B"/>
              <i n="[Datos].[Nota].&amp;[C]" c="C"/>
            </range>
          </ranges>
        </level>
      </levels>
      <selections count="1">
        <selection n="[Datos].[Nota].&amp;[A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s_y_Nombres" xr10:uid="{80E8F070-1085-47C6-B9A2-239476998156}" sourceName="[Datos].[Apellidos y Nombres]">
  <pivotTables>
    <pivotTable tabId="1" name="TablaDinámica14"/>
    <pivotTable tabId="1" name="TablaDinámica15"/>
    <pivotTable tabId="1" name="TablaDinámica16"/>
    <pivotTable tabId="1" name="TablaDinámica17"/>
  </pivotTables>
  <data>
    <olap pivotCacheId="1043533348">
      <levels count="2">
        <level uniqueName="[Datos].[Apellidos y Nombres].[(All)]" sourceCaption="(All)" count="0"/>
        <level uniqueName="[Datos].[Apellidos y Nombres].[Apellidos y Nombres]" sourceCaption="Apellidos y Nombres" count="29">
          <ranges>
            <range startItem="0">
              <i n="[Datos].[Apellidos y Nombres].&amp;[BENAVIDES RAMOS, Carmen Camila]" c="BENAVIDES RAMOS, Carmen Camila"/>
              <i n="[Datos].[Apellidos y Nombres].&amp;[BUSTAMANTE LOPEZ, Juana Rosa]" c="BUSTAMANTE LOPEZ, Juana Rosa"/>
              <i n="[Datos].[Apellidos y Nombres].&amp;[CASTRO LLOSA, Manuel Santos]" c="CASTRO LLOSA, Manuel Santos"/>
              <i n="[Datos].[Apellidos y Nombres].&amp;[CHAVEZ RIVERO, Pedro Juan]" c="CHAVEZ RIVERO, Pedro Juan"/>
              <i n="[Datos].[Apellidos y Nombres].&amp;[CORNEJO MALDONADO, Ana Francisca]" c="CORNEJO MALDONADO, Ana Francisca"/>
              <i n="[Datos].[Apellidos y Nombres].&amp;[DEL CAMPO HURTADO, Miguel Julio]" c="DEL CAMPO HURTADO, Miguel Julio"/>
              <i n="[Datos].[Apellidos y Nombres].&amp;[DELGADO ZEGARRA, Luz Alexia]" c="DELGADO ZEGARRA, Luz Alexia"/>
              <i n="[Datos].[Apellidos y Nombres].&amp;[DIAZ PAREDES, Ángel Segundo]" c="DIAZ PAREDES, Ángel Segundo"/>
              <i n="[Datos].[Apellidos y Nombres].&amp;[ESPINOZA SALAS, Santos Ángel]" c="ESPINOZA SALAS, Santos Ángel"/>
              <i n="[Datos].[Apellidos y Nombres].&amp;[FLORES GONZALEZ, Jorge Fernando]" c="FLORES GONZALEZ, Jorge Fernando"/>
              <i n="[Datos].[Apellidos y Nombres].&amp;[GARCIA SEMINARIO, Juan Javier]" c="GARCIA SEMINARIO, Juan Javier"/>
              <i n="[Datos].[Apellidos y Nombres].&amp;[GONZALES PIZARRO, Julia Ana]" c="GONZALES PIZARRO, Julia Ana"/>
              <i n="[Datos].[Apellidos y Nombres].&amp;[HERRERA MARTINEZ, Jhon David]" c="HERRERA MARTINEZ, Jhon David"/>
              <i n="[Datos].[Apellidos y Nombres].&amp;[LARCO GOMEZ, Flor Ariana]" c="LARCO GOMEZ, Flor Ariana"/>
              <i n="[Datos].[Apellidos y Nombres].&amp;[MENDOZA DE LA FUENTE, Segundo]" c="MENDOZA DE LA FUENTE, Segundo"/>
              <i n="[Datos].[Apellidos y Nombres].&amp;[MORALES ALVAREZ, Daniel Víctor]" c="MORALES ALVAREZ, Daniel Víctor"/>
              <i n="[Datos].[Apellidos y Nombres].&amp;[PACHECO FERNANDEZ, César Jesús]" c="PACHECO FERNANDEZ, César Jesús"/>
              <i n="[Datos].[Apellidos y Nombres].&amp;[PEREZ VASQUEZ, Ruth Camila]" c="PEREZ VASQUEZ, Ruth Camila"/>
              <i n="[Datos].[Apellidos y Nombres].&amp;[RIVERA SOTO, Jesús Pedro]" c="RIVERA SOTO, Jesús Pedro"/>
              <i n="[Datos].[Apellidos y Nombres].&amp;[RODRIGUEZ RAMIREZ, María Diana]" c="RODRIGUEZ RAMIREZ, María Diana"/>
              <i n="[Datos].[Apellidos y Nombres].&amp;[ROJAS CACERES, Víctor Alejandro]" c="ROJAS CACERES, Víctor Alejandro"/>
              <i n="[Datos].[Apellidos y Nombres].&amp;[ROMERO NIETO, Julio Manuel]" c="ROMERO NIETO, Julio Manuel"/>
              <i n="[Datos].[Apellidos y Nombres].&amp;[RUIZ VALENCIA, David Diego]" c="RUIZ VALENCIA, David Diego"/>
              <i n="[Datos].[Apellidos y Nombres].&amp;[SALAZAR GUTIERREZ, Rosa Milagros]" c="SALAZAR GUTIERREZ, Rosa Milagros"/>
              <i n="[Datos].[Apellidos y Nombres].&amp;[SANCHEZ LEON, Diego Daniel]" c="SANCHEZ LEON, Diego Daniel"/>
              <i n="[Datos].[Apellidos y Nombres].&amp;[TORRES CASTILLO, Carlos Walter]" c="TORRES CASTILLO, Carlos Walter"/>
              <i n="[Datos].[Apellidos y Nombres].&amp;[VALDIVIA ALVARADO, Elizabeth Luz]" c="VALDIVIA ALVARADO, Elizabeth Luz"/>
              <i n="[Datos].[Apellidos y Nombres].&amp;[VARGAS SILVA, José Marco]" c="VARGAS SILVA, José Marco"/>
              <i n="[Datos].[Apellidos y Nombres].&amp;[YUPANQUI DE LA TORRE, Luis Edwin]" c="YUPANQUI DE LA TORRE, Luis Edwin"/>
            </range>
          </ranges>
        </level>
      </levels>
      <selections count="1">
        <selection n="[Datos].[Apellidos y Nombres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iodo" xr10:uid="{2B8B6B7B-D436-43B0-8BB8-A4013BB17FC0}" sourceName="[Datos].[Periodo]">
  <pivotTables>
    <pivotTable tabId="1" name="TablaDinámica2"/>
    <pivotTable tabId="1" name="TablaDinámica3"/>
    <pivotTable tabId="1" name="TablaDinámica4"/>
    <pivotTable tabId="1" name="TablaDinámica8"/>
    <pivotTable tabId="1" name="TablaDinámica10"/>
    <pivotTable tabId="1" name="TablaDinámica11"/>
    <pivotTable tabId="1" name="TablaDinámica18"/>
  </pivotTables>
  <data>
    <olap pivotCacheId="1043533348">
      <levels count="2">
        <level uniqueName="[Datos].[Periodo].[(All)]" sourceCaption="(All)" count="0"/>
        <level uniqueName="[Datos].[Periodo].[Periodo]" sourceCaption="Periodo" count="4">
          <ranges>
            <range startItem="0">
              <i n="[Datos].[Periodo].&amp;[Tri -  1]" c="Tri -  1"/>
              <i n="[Datos].[Periodo].&amp;[Tri -  2]" c="Tri -  2"/>
              <i n="[Datos].[Periodo].&amp;[Tri -  3]" c="Tri -  3"/>
              <i n="[Datos].[Periodo].&amp;[Tri -  4]" c="Tri -  4"/>
            </range>
          </ranges>
        </level>
      </levels>
      <selections count="1">
        <selection n="[Datos].[Periodo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rsos" xr10:uid="{671D82A7-0146-4404-BBA4-8E08F290B35E}" sourceName="[Datos].[Cursos]">
  <pivotTables>
    <pivotTable tabId="1" name="TablaDinámica2"/>
    <pivotTable tabId="1" name="TablaDinámica3"/>
    <pivotTable tabId="1" name="TablaDinámica4"/>
    <pivotTable tabId="1" name="TablaDinámica8"/>
    <pivotTable tabId="1" name="TablaDinámica12"/>
    <pivotTable tabId="1" name="TablaDinámica13"/>
  </pivotTables>
  <data>
    <olap pivotCacheId="1043533348">
      <levels count="2">
        <level uniqueName="[Datos].[Cursos].[(All)]" sourceCaption="(All)" count="0"/>
        <level uniqueName="[Datos].[Cursos].[Cursos]" sourceCaption="Cursos" count="6">
          <ranges>
            <range startItem="0">
              <i n="[Datos].[Cursos].&amp;[Comunicación]" c="Comunicación"/>
              <i n="[Datos].[Cursos].&amp;[Estadística]" c="Estadística"/>
              <i n="[Datos].[Cursos].&amp;[Física]" c="Física"/>
              <i n="[Datos].[Cursos].&amp;[Inglés]" c="Inglés"/>
              <i n="[Datos].[Cursos].&amp;[Matemática]" c="Matemática"/>
              <i n="[Datos].[Cursos].&amp;[Religión]" c="Religión"/>
            </range>
          </ranges>
        </level>
      </levels>
      <selections count="1">
        <selection n="[Datos].[Cursos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7846B0B9-7AE1-40BD-A8BB-8F8E457ED558}" sourceName="[Datos].[Estado]">
  <pivotTables>
    <pivotTable tabId="1" name="TablaDinámica11"/>
  </pivotTables>
  <data>
    <olap pivotCacheId="1043533348">
      <levels count="2">
        <level uniqueName="[Datos].[Estado].[(All)]" sourceCaption="(All)" count="0"/>
        <level uniqueName="[Datos].[Estado].[Estado]" sourceCaption="Estado" count="2">
          <ranges>
            <range startItem="0">
              <i n="[Datos].[Estado].&amp;[Aprobado]" c="Aprobado"/>
              <i n="[Datos].[Estado].&amp;[Desaprobado]" c="Desaprobado"/>
            </range>
          </ranges>
        </level>
      </levels>
      <selections count="1">
        <selection n="[Datos].[Estado].&amp;[Aprobado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ta 1" xr10:uid="{EB37A39F-F6D5-4ABF-87D9-BD7F22A2DDE2}" cache="SegmentaciónDeDatos_Nota" caption="Nota" level="1" style="Segmentacion Cursos" rowHeight="504000"/>
  <slicer name="Apellidos y Nombres 1" xr10:uid="{7F4F9357-2E53-4613-BF50-C30349277693}" cache="SegmentaciónDeDatos_Apellidos_y_Nombres" caption="Apellidos y Nombres" level="1" style="SEGMENTACION NOMBRES ALUMNOS" rowHeight="360000"/>
  <slicer name="Periodo 1" xr10:uid="{FAABB6D4-ADB6-4DBC-A226-20DE4BD4A742}" cache="SegmentaciónDeDatos_Periodo" caption="Periodo" columnCount="2" level="1" style="SEGMENTACION NOMBRES ALUMNOS" rowHeight="396000"/>
  <slicer name="Cursos 1" xr10:uid="{525F5D9B-2867-4FC7-9059-942207776965}" cache="SegmentaciónDeDatos_Cursos" caption="Cursos" columnCount="2" level="1" style="SEGMENTACION NOMBRES ALUMNOS" rowHeight="396000"/>
  <slicer name="Estado 1" xr10:uid="{3EA7024A-38A3-4DD0-8EAA-055BB415DF41}" cache="SegmentaciónDeDatos_Estado" caption="Estado" columnCount="2" level="1" style="SlicerStyleOther2 2" rowHeight="288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ta" xr10:uid="{C68B3D02-C3B9-4654-827B-3957D7FC7248}" cache="SegmentaciónDeDatos_Nota" caption="Nota" columnCount="2" level="1" rowHeight="257175"/>
  <slicer name="Apellidos y Nombres" xr10:uid="{43A598D4-4B1C-4513-8F73-130DCD7D7131}" cache="SegmentaciónDeDatos_Apellidos_y_Nombres" caption="Apellidos y Nombres" startItem="13" level="1" rowHeight="257175"/>
  <slicer name="Periodo" xr10:uid="{4D3C04A6-6575-4BEE-8BFA-82D169C6F928}" cache="SegmentaciónDeDatos_Periodo" caption="Periodo" columnCount="2" level="1" rowHeight="257175"/>
  <slicer name="Cursos" xr10:uid="{DE997D63-EEFB-4767-9D4E-0A9A6E045B3B}" cache="SegmentaciónDeDatos_Cursos" caption="Cursos" columnCount="3" level="1" rowHeight="257175"/>
  <slicer name="Estado" xr10:uid="{CBD31DCB-9164-4850-AD69-D3042C3D1F60}" cache="SegmentaciónDeDatos_Estado" caption="Estado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E4BE9-D568-478F-9032-AD776A60D3FB}" name="tablaDatos" displayName="tablaDatos" ref="A1:N697" totalsRowShown="0" headerRowDxfId="16" dataDxfId="15" tableBorderDxfId="14">
  <autoFilter ref="A1:N697" xr:uid="{A92E4BE9-D568-478F-9032-AD776A60D3FB}"/>
  <tableColumns count="14">
    <tableColumn id="1" xr3:uid="{75CC7942-D7D1-4E98-B63D-3527428F513E}" name="# de Orden" dataDxfId="13"/>
    <tableColumn id="2" xr3:uid="{8BB4A2CF-269A-4518-BCFD-89AAAB81749E}" name="Periodo" dataDxfId="12"/>
    <tableColumn id="3" xr3:uid="{F6673EDE-44B2-4A62-9C19-82954F1CE349}" name="Apellidos y Nombres" dataDxfId="11"/>
    <tableColumn id="4" xr3:uid="{AC4E6339-7820-4D77-98F9-48CB49D1F8DE}" name="Cursos" dataDxfId="10"/>
    <tableColumn id="5" xr3:uid="{5CE76BDE-1A52-47E9-8F7D-B0E6639DF8B7}" name="Nota 1" dataDxfId="9"/>
    <tableColumn id="6" xr3:uid="{C974DA3D-4457-45D9-80C9-9EE228C76705}" name="Nota 2" dataDxfId="8"/>
    <tableColumn id="7" xr3:uid="{0E71A563-A1CF-4C1E-B4C3-FD0EE21D7D9E}" name="Nota 3" dataDxfId="7"/>
    <tableColumn id="8" xr3:uid="{D885FCCA-0672-4E83-A1F9-4B8F3F2FF69D}" name="Nota 4" dataDxfId="6"/>
    <tableColumn id="9" xr3:uid="{39A0A877-4F56-4EE2-8E1A-B0F84F8B9B19}" name="Trabajos" dataDxfId="5"/>
    <tableColumn id="10" xr3:uid="{E127036F-4BFF-4973-B79C-A4C85B82E0EE}" name="Promedio Final" dataDxfId="4">
      <calculatedColumnFormula>+AVERAGE(E2:I2)</calculatedColumnFormula>
    </tableColumn>
    <tableColumn id="11" xr3:uid="{E205DE13-547E-4899-8FFC-CFDDE80A3F04}" name="Redondear" dataDxfId="3">
      <calculatedColumnFormula>+ROUND(J2,0)</calculatedColumnFormula>
    </tableColumn>
    <tableColumn id="12" xr3:uid="{AF247BC3-9212-407B-9CAF-9186D17F9691}" name="Nota" dataDxfId="2">
      <calculatedColumnFormula>+_xlfn.XLOOKUP(K2,$R$3:$R$6,$S$3:$S$6)</calculatedColumnFormula>
    </tableColumn>
    <tableColumn id="13" xr3:uid="{276AE907-AAC6-41CD-B924-5E9856ED6326}" name="Estado" dataDxfId="1">
      <calculatedColumnFormula>+IF(OR(L2="AD",L2="A"),"Aprobado","Desaprobado")</calculatedColumnFormula>
    </tableColumn>
    <tableColumn id="14" xr3:uid="{8F2EBCB8-75BE-4062-9A02-CE18D4BBDC81}" name="%Asiste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microsoft.com/office/2007/relationships/slicer" Target="../slicers/slicer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0446-AB56-4A9A-BDB5-A1BB2984CEBF}">
  <sheetPr>
    <tabColor rgb="FF7AAA62"/>
  </sheetPr>
  <dimension ref="A1:AG59"/>
  <sheetViews>
    <sheetView tabSelected="1" zoomScale="88" zoomScaleNormal="88" workbookViewId="0">
      <selection activeCell="L46" sqref="L46"/>
    </sheetView>
  </sheetViews>
  <sheetFormatPr baseColWidth="10" defaultRowHeight="15" x14ac:dyDescent="0.25"/>
  <cols>
    <col min="1" max="2" width="24.140625" customWidth="1"/>
    <col min="24" max="24" width="11.42578125" customWidth="1"/>
  </cols>
  <sheetData>
    <row r="1" spans="1:33" ht="17.25" customHeight="1" x14ac:dyDescent="0.25">
      <c r="A1" s="26"/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6"/>
      <c r="X1" s="26"/>
      <c r="Y1" s="26"/>
      <c r="Z1" s="26"/>
      <c r="AA1" s="26"/>
      <c r="AB1" s="26"/>
      <c r="AC1" s="26"/>
      <c r="AD1" s="26"/>
      <c r="AE1" s="27"/>
      <c r="AF1" s="27"/>
      <c r="AG1" s="27"/>
    </row>
    <row r="2" spans="1:33" x14ac:dyDescent="0.25">
      <c r="A2" s="26"/>
      <c r="B2" s="26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6"/>
      <c r="X2" s="26"/>
      <c r="Y2" s="26"/>
      <c r="Z2" s="26"/>
      <c r="AA2" s="26"/>
      <c r="AB2" s="26"/>
      <c r="AC2" s="26"/>
      <c r="AD2" s="26"/>
      <c r="AE2" s="27"/>
      <c r="AF2" s="27"/>
      <c r="AG2" s="27"/>
    </row>
    <row r="3" spans="1:33" x14ac:dyDescent="0.25">
      <c r="A3" s="26"/>
      <c r="B3" s="26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6"/>
      <c r="W3" s="26"/>
      <c r="X3" s="26"/>
      <c r="Y3" s="26"/>
      <c r="Z3" s="26"/>
      <c r="AA3" s="26"/>
      <c r="AB3" s="26"/>
      <c r="AC3" s="26"/>
      <c r="AD3" s="26"/>
      <c r="AE3" s="27"/>
      <c r="AF3" s="27"/>
      <c r="AG3" s="27"/>
    </row>
    <row r="4" spans="1:33" x14ac:dyDescent="0.25">
      <c r="A4" s="26"/>
      <c r="B4" s="26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6"/>
      <c r="W4" s="26"/>
      <c r="X4" s="26"/>
      <c r="Y4" s="26"/>
      <c r="Z4" s="26"/>
      <c r="AA4" s="26"/>
      <c r="AB4" s="26"/>
      <c r="AC4" s="26"/>
      <c r="AD4" s="26"/>
      <c r="AE4" s="27"/>
      <c r="AF4" s="27"/>
      <c r="AG4" s="27"/>
    </row>
    <row r="5" spans="1:33" x14ac:dyDescent="0.25">
      <c r="A5" s="26"/>
      <c r="B5" s="26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6"/>
      <c r="W5" s="26"/>
      <c r="X5" s="26"/>
      <c r="Y5" s="26"/>
      <c r="Z5" s="26"/>
      <c r="AA5" s="26"/>
      <c r="AB5" s="26"/>
      <c r="AC5" s="26"/>
      <c r="AD5" s="26"/>
      <c r="AE5" s="27"/>
      <c r="AF5" s="27"/>
      <c r="AG5" s="27"/>
    </row>
    <row r="6" spans="1:33" x14ac:dyDescent="0.25">
      <c r="A6" s="26"/>
      <c r="B6" s="26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6"/>
      <c r="W6" s="26"/>
      <c r="X6" s="26"/>
      <c r="Y6" s="26"/>
      <c r="Z6" s="26"/>
      <c r="AA6" s="26"/>
      <c r="AB6" s="26"/>
      <c r="AC6" s="26"/>
      <c r="AD6" s="26"/>
      <c r="AE6" s="27"/>
      <c r="AF6" s="27"/>
      <c r="AG6" s="27"/>
    </row>
    <row r="7" spans="1:33" x14ac:dyDescent="0.25">
      <c r="A7" s="26"/>
      <c r="B7" s="26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6"/>
      <c r="W7" s="26"/>
      <c r="X7" s="26"/>
      <c r="Y7" s="26"/>
      <c r="Z7" s="26"/>
      <c r="AA7" s="26"/>
      <c r="AB7" s="26"/>
      <c r="AC7" s="26"/>
      <c r="AD7" s="26"/>
      <c r="AE7" s="27"/>
      <c r="AF7" s="27"/>
      <c r="AG7" s="27"/>
    </row>
    <row r="8" spans="1:33" x14ac:dyDescent="0.25">
      <c r="A8" s="26"/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6"/>
      <c r="W8" s="28"/>
      <c r="X8" s="29"/>
      <c r="Y8" s="29"/>
      <c r="Z8" s="26"/>
      <c r="AA8" s="26"/>
      <c r="AB8" s="26"/>
      <c r="AC8" s="26"/>
      <c r="AD8" s="26"/>
      <c r="AE8" s="27"/>
      <c r="AF8" s="27"/>
      <c r="AG8" s="27"/>
    </row>
    <row r="9" spans="1:33" x14ac:dyDescent="0.25">
      <c r="A9" s="26"/>
      <c r="B9" s="26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6"/>
      <c r="W9" s="26"/>
      <c r="X9" s="26"/>
      <c r="Y9" s="26"/>
      <c r="Z9" s="26"/>
      <c r="AA9" s="26"/>
      <c r="AB9" s="26"/>
      <c r="AC9" s="26"/>
      <c r="AD9" s="26"/>
      <c r="AE9" s="27"/>
      <c r="AF9" s="27"/>
      <c r="AG9" s="27"/>
    </row>
    <row r="10" spans="1:33" x14ac:dyDescent="0.25">
      <c r="A10" s="26"/>
      <c r="B10" s="26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6"/>
      <c r="W10" s="26"/>
      <c r="X10" s="26"/>
      <c r="Y10" s="26"/>
      <c r="Z10" s="26"/>
      <c r="AA10" s="26"/>
      <c r="AB10" s="26"/>
      <c r="AC10" s="26"/>
      <c r="AD10" s="26"/>
      <c r="AE10" s="27"/>
      <c r="AF10" s="27"/>
      <c r="AG10" s="27"/>
    </row>
    <row r="11" spans="1:33" x14ac:dyDescent="0.25">
      <c r="A11" s="26"/>
      <c r="B11" s="26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6"/>
      <c r="W11" s="26"/>
      <c r="X11" s="26"/>
      <c r="Y11" s="26"/>
      <c r="Z11" s="26"/>
      <c r="AA11" s="26"/>
      <c r="AB11" s="26"/>
      <c r="AC11" s="26"/>
      <c r="AD11" s="26"/>
      <c r="AE11" s="27"/>
      <c r="AF11" s="27"/>
      <c r="AG11" s="27"/>
    </row>
    <row r="12" spans="1:33" x14ac:dyDescent="0.25">
      <c r="A12" s="26"/>
      <c r="B12" s="2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6"/>
      <c r="W12" s="26"/>
      <c r="X12" s="26"/>
      <c r="Y12" s="26"/>
      <c r="Z12" s="26"/>
      <c r="AA12" s="26"/>
      <c r="AB12" s="26"/>
      <c r="AC12" s="26"/>
      <c r="AD12" s="26"/>
      <c r="AE12" s="27"/>
      <c r="AF12" s="27"/>
      <c r="AG12" s="27"/>
    </row>
    <row r="13" spans="1:33" x14ac:dyDescent="0.25">
      <c r="A13" s="26"/>
      <c r="B13" s="26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6"/>
      <c r="W13" s="26"/>
      <c r="X13" s="26"/>
      <c r="Y13" s="26"/>
      <c r="Z13" s="26"/>
      <c r="AA13" s="26"/>
      <c r="AB13" s="26"/>
      <c r="AC13" s="26"/>
      <c r="AD13" s="26"/>
      <c r="AE13" s="27"/>
      <c r="AF13" s="27"/>
      <c r="AG13" s="27"/>
    </row>
    <row r="14" spans="1:33" x14ac:dyDescent="0.25">
      <c r="A14" s="26"/>
      <c r="B14" s="26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  <c r="AA14" s="26"/>
      <c r="AB14" s="26"/>
      <c r="AC14" s="26"/>
      <c r="AD14" s="26"/>
      <c r="AE14" s="27"/>
      <c r="AF14" s="27"/>
      <c r="AG14" s="27"/>
    </row>
    <row r="15" spans="1:33" x14ac:dyDescent="0.25">
      <c r="A15" s="26"/>
      <c r="B15" s="2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  <c r="W15" s="26"/>
      <c r="X15" s="26"/>
      <c r="Y15" s="26"/>
      <c r="Z15" s="26"/>
      <c r="AA15" s="26"/>
      <c r="AB15" s="26"/>
      <c r="AC15" s="26"/>
      <c r="AD15" s="26"/>
      <c r="AE15" s="27"/>
      <c r="AF15" s="27"/>
      <c r="AG15" s="27"/>
    </row>
    <row r="16" spans="1:33" x14ac:dyDescent="0.25">
      <c r="A16" s="26"/>
      <c r="B16" s="2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7"/>
      <c r="AF16" s="27"/>
      <c r="AG16" s="27"/>
    </row>
    <row r="17" spans="1:33" x14ac:dyDescent="0.25">
      <c r="A17" s="26"/>
      <c r="B17" s="26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6"/>
      <c r="W17" s="26"/>
      <c r="X17" s="26"/>
      <c r="Y17" s="26"/>
      <c r="Z17" s="26"/>
      <c r="AA17" s="26"/>
      <c r="AB17" s="26"/>
      <c r="AC17" s="26"/>
      <c r="AD17" s="26"/>
      <c r="AE17" s="27"/>
      <c r="AF17" s="27"/>
      <c r="AG17" s="27"/>
    </row>
    <row r="18" spans="1:33" x14ac:dyDescent="0.25">
      <c r="A18" s="26"/>
      <c r="B18" s="26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6"/>
      <c r="W18" s="26"/>
      <c r="X18" s="26"/>
      <c r="Y18" s="26"/>
      <c r="Z18" s="26"/>
      <c r="AA18" s="26"/>
      <c r="AB18" s="26"/>
      <c r="AC18" s="26"/>
      <c r="AD18" s="26"/>
      <c r="AE18" s="27"/>
      <c r="AF18" s="27"/>
      <c r="AG18" s="27"/>
    </row>
    <row r="19" spans="1:33" x14ac:dyDescent="0.25">
      <c r="A19" s="26"/>
      <c r="B19" s="2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6"/>
      <c r="W19" s="26"/>
      <c r="X19" s="26"/>
      <c r="Y19" s="26"/>
      <c r="Z19" s="26"/>
      <c r="AA19" s="26"/>
      <c r="AB19" s="26"/>
      <c r="AC19" s="26"/>
      <c r="AD19" s="26"/>
      <c r="AE19" s="27"/>
      <c r="AF19" s="27"/>
      <c r="AG19" s="27"/>
    </row>
    <row r="20" spans="1:33" x14ac:dyDescent="0.25">
      <c r="A20" s="26"/>
      <c r="B20" s="2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6"/>
      <c r="W20" s="26"/>
      <c r="X20" s="26"/>
      <c r="Y20" s="26"/>
      <c r="Z20" s="26"/>
      <c r="AA20" s="26"/>
      <c r="AB20" s="26"/>
      <c r="AC20" s="26"/>
      <c r="AD20" s="26"/>
      <c r="AE20" s="27"/>
      <c r="AF20" s="27"/>
      <c r="AG20" s="27"/>
    </row>
    <row r="21" spans="1:33" x14ac:dyDescent="0.25">
      <c r="A21" s="26"/>
      <c r="B21" s="2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6"/>
      <c r="W21" s="26"/>
      <c r="X21" s="26"/>
      <c r="Y21" s="26"/>
      <c r="Z21" s="26"/>
      <c r="AA21" s="26"/>
      <c r="AB21" s="26"/>
      <c r="AC21" s="26"/>
      <c r="AD21" s="26"/>
      <c r="AE21" s="27"/>
      <c r="AF21" s="27"/>
      <c r="AG21" s="27"/>
    </row>
    <row r="22" spans="1:33" x14ac:dyDescent="0.25">
      <c r="A22" s="26"/>
      <c r="B22" s="2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6"/>
      <c r="W22" s="26"/>
      <c r="X22" s="26"/>
      <c r="Y22" s="26"/>
      <c r="Z22" s="26"/>
      <c r="AA22" s="26"/>
      <c r="AB22" s="26"/>
      <c r="AC22" s="26"/>
      <c r="AD22" s="26"/>
      <c r="AE22" s="27"/>
      <c r="AF22" s="27"/>
      <c r="AG22" s="27"/>
    </row>
    <row r="23" spans="1:33" x14ac:dyDescent="0.25">
      <c r="A23" s="26"/>
      <c r="B23" s="2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6"/>
      <c r="W23" s="26"/>
      <c r="X23" s="26"/>
      <c r="Y23" s="26"/>
      <c r="Z23" s="26"/>
      <c r="AA23" s="26"/>
      <c r="AB23" s="26"/>
      <c r="AC23" s="26"/>
      <c r="AD23" s="26"/>
      <c r="AE23" s="27"/>
      <c r="AF23" s="27"/>
      <c r="AG23" s="27"/>
    </row>
    <row r="24" spans="1:33" x14ac:dyDescent="0.25">
      <c r="A24" s="26"/>
      <c r="B24" s="26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6"/>
      <c r="W24" s="26"/>
      <c r="X24" s="26"/>
      <c r="Y24" s="26"/>
      <c r="Z24" s="26"/>
      <c r="AA24" s="26"/>
      <c r="AB24" s="26"/>
      <c r="AC24" s="26"/>
      <c r="AD24" s="26"/>
      <c r="AE24" s="27"/>
      <c r="AF24" s="27"/>
      <c r="AG24" s="27"/>
    </row>
    <row r="25" spans="1:33" x14ac:dyDescent="0.25">
      <c r="A25" s="26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6"/>
      <c r="W25" s="26"/>
      <c r="X25" s="26"/>
      <c r="Y25" s="26"/>
      <c r="Z25" s="26"/>
      <c r="AA25" s="26"/>
      <c r="AB25" s="26"/>
      <c r="AC25" s="26"/>
      <c r="AD25" s="26"/>
      <c r="AE25" s="27"/>
      <c r="AF25" s="27"/>
      <c r="AG25" s="27"/>
    </row>
    <row r="26" spans="1:33" x14ac:dyDescent="0.25">
      <c r="A26" s="26"/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6"/>
      <c r="W26" s="26"/>
      <c r="X26" s="26"/>
      <c r="Y26" s="26"/>
      <c r="Z26" s="26"/>
      <c r="AA26" s="26"/>
      <c r="AB26" s="26"/>
      <c r="AC26" s="26"/>
      <c r="AD26" s="26"/>
      <c r="AE26" s="27"/>
      <c r="AF26" s="27"/>
      <c r="AG26" s="27"/>
    </row>
    <row r="27" spans="1:33" x14ac:dyDescent="0.25">
      <c r="A27" s="26"/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6"/>
      <c r="W27" s="26"/>
      <c r="X27" s="26"/>
      <c r="Y27" s="26"/>
      <c r="Z27" s="26"/>
      <c r="AA27" s="26"/>
      <c r="AB27" s="26"/>
      <c r="AC27" s="26"/>
      <c r="AD27" s="26"/>
      <c r="AE27" s="27"/>
      <c r="AF27" s="27"/>
      <c r="AG27" s="27"/>
    </row>
    <row r="28" spans="1:33" x14ac:dyDescent="0.25">
      <c r="A28" s="26"/>
      <c r="B28" s="26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6"/>
      <c r="W28" s="9"/>
      <c r="X28" s="9"/>
      <c r="Y28" s="26"/>
      <c r="Z28" s="26"/>
      <c r="AA28" s="26"/>
      <c r="AB28" s="26"/>
      <c r="AC28" s="26"/>
      <c r="AD28" s="26"/>
      <c r="AE28" s="27"/>
      <c r="AF28" s="27"/>
      <c r="AG28" s="27"/>
    </row>
    <row r="29" spans="1:33" x14ac:dyDescent="0.25">
      <c r="A29" s="26"/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6"/>
      <c r="W29" s="9"/>
      <c r="X29" s="9"/>
      <c r="Y29" s="26"/>
      <c r="Z29" s="26"/>
      <c r="AA29" s="26"/>
      <c r="AB29" s="26"/>
      <c r="AC29" s="26"/>
      <c r="AD29" s="26"/>
      <c r="AE29" s="27"/>
      <c r="AF29" s="27"/>
      <c r="AG29" s="27"/>
    </row>
    <row r="30" spans="1:33" x14ac:dyDescent="0.25">
      <c r="A30" s="26"/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6"/>
      <c r="W30" s="9"/>
      <c r="X30" s="9"/>
      <c r="Y30" s="26"/>
      <c r="Z30" s="26"/>
      <c r="AA30" s="26"/>
      <c r="AB30" s="26"/>
      <c r="AC30" s="26"/>
      <c r="AD30" s="26"/>
      <c r="AE30" s="27"/>
      <c r="AF30" s="27"/>
      <c r="AG30" s="27"/>
    </row>
    <row r="31" spans="1:33" x14ac:dyDescent="0.25">
      <c r="A31" s="26"/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6"/>
      <c r="W31" s="9"/>
      <c r="X31" s="9"/>
      <c r="Y31" s="26"/>
      <c r="Z31" s="26"/>
      <c r="AA31" s="26"/>
      <c r="AB31" s="26"/>
      <c r="AC31" s="26"/>
      <c r="AD31" s="26"/>
      <c r="AE31" s="27"/>
      <c r="AF31" s="27"/>
      <c r="AG31" s="27"/>
    </row>
    <row r="32" spans="1:33" x14ac:dyDescent="0.25">
      <c r="A32" s="26"/>
      <c r="B32" s="26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6"/>
      <c r="W32" s="9"/>
      <c r="X32" s="9"/>
      <c r="Y32" s="26"/>
      <c r="Z32" s="26"/>
      <c r="AA32" s="26"/>
      <c r="AB32" s="26"/>
      <c r="AC32" s="26"/>
      <c r="AD32" s="26"/>
      <c r="AE32" s="27"/>
      <c r="AF32" s="27"/>
      <c r="AG32" s="27"/>
    </row>
    <row r="33" spans="1:33" x14ac:dyDescent="0.25">
      <c r="A33" s="26"/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6"/>
      <c r="W33" s="9"/>
      <c r="X33" s="9"/>
      <c r="Y33" s="26"/>
      <c r="Z33" s="26"/>
      <c r="AA33" s="26"/>
      <c r="AB33" s="26"/>
      <c r="AC33" s="26"/>
      <c r="AD33" s="26"/>
      <c r="AE33" s="27"/>
      <c r="AF33" s="27"/>
      <c r="AG33" s="27"/>
    </row>
    <row r="34" spans="1:33" x14ac:dyDescent="0.25">
      <c r="A34" s="26"/>
      <c r="B34" s="26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7"/>
      <c r="AF34" s="27"/>
      <c r="AG34" s="27"/>
    </row>
    <row r="35" spans="1:33" x14ac:dyDescent="0.25">
      <c r="A35" s="26"/>
      <c r="B35" s="2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6"/>
      <c r="W35" s="26"/>
      <c r="X35" s="26"/>
      <c r="Y35" s="26"/>
      <c r="Z35" s="26"/>
      <c r="AA35" s="26"/>
      <c r="AB35" s="26"/>
      <c r="AC35" s="26"/>
      <c r="AD35" s="26"/>
      <c r="AE35" s="27"/>
      <c r="AF35" s="27"/>
      <c r="AG35" s="27"/>
    </row>
    <row r="36" spans="1:33" x14ac:dyDescent="0.25">
      <c r="A36" s="26"/>
      <c r="B36" s="26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6"/>
      <c r="W36" s="26"/>
      <c r="X36" s="26"/>
      <c r="Y36" s="26"/>
      <c r="Z36" s="26"/>
      <c r="AA36" s="26"/>
      <c r="AB36" s="26"/>
      <c r="AC36" s="26"/>
      <c r="AD36" s="26"/>
      <c r="AE36" s="27"/>
      <c r="AF36" s="27"/>
      <c r="AG36" s="27"/>
    </row>
    <row r="37" spans="1:33" x14ac:dyDescent="0.25">
      <c r="A37" s="26"/>
      <c r="B37" s="26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6"/>
      <c r="W37" s="26"/>
      <c r="X37" s="26"/>
      <c r="Y37" s="26"/>
      <c r="Z37" s="26"/>
      <c r="AA37" s="26"/>
      <c r="AB37" s="26"/>
      <c r="AC37" s="26"/>
      <c r="AD37" s="26"/>
      <c r="AE37" s="27"/>
      <c r="AF37" s="27"/>
      <c r="AG37" s="27"/>
    </row>
    <row r="38" spans="1:33" x14ac:dyDescent="0.25">
      <c r="A38" s="26"/>
      <c r="B38" s="26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6"/>
      <c r="W38" s="26"/>
      <c r="X38" s="26"/>
      <c r="Y38" s="26"/>
      <c r="Z38" s="26"/>
      <c r="AA38" s="26"/>
      <c r="AB38" s="26"/>
      <c r="AC38" s="26"/>
      <c r="AD38" s="26"/>
      <c r="AE38" s="27"/>
      <c r="AF38" s="27"/>
      <c r="AG38" s="27"/>
    </row>
    <row r="39" spans="1:33" x14ac:dyDescent="0.25">
      <c r="A39" s="26"/>
      <c r="B39" s="2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6"/>
      <c r="W39" s="26"/>
      <c r="X39" s="26"/>
      <c r="Y39" s="26"/>
      <c r="Z39" s="26"/>
      <c r="AA39" s="26"/>
      <c r="AB39" s="26"/>
      <c r="AC39" s="26"/>
      <c r="AD39" s="26"/>
      <c r="AE39" s="27"/>
      <c r="AF39" s="27"/>
      <c r="AG39" s="27"/>
    </row>
    <row r="40" spans="1:33" x14ac:dyDescent="0.25">
      <c r="A40" s="26"/>
      <c r="B40" s="26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6"/>
      <c r="W40" s="26"/>
      <c r="X40" s="26"/>
      <c r="Y40" s="26"/>
      <c r="Z40" s="26"/>
      <c r="AA40" s="26"/>
      <c r="AB40" s="26"/>
      <c r="AC40" s="26"/>
      <c r="AD40" s="26"/>
      <c r="AE40" s="27"/>
      <c r="AF40" s="27"/>
      <c r="AG40" s="27"/>
    </row>
    <row r="41" spans="1:33" x14ac:dyDescent="0.25">
      <c r="A41" s="26"/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6"/>
      <c r="W41" s="26"/>
      <c r="X41" s="26"/>
      <c r="Y41" s="26"/>
      <c r="Z41" s="26"/>
      <c r="AA41" s="26"/>
      <c r="AB41" s="26"/>
      <c r="AC41" s="26"/>
      <c r="AD41" s="26"/>
      <c r="AE41" s="27"/>
      <c r="AF41" s="27"/>
      <c r="AG41" s="27"/>
    </row>
    <row r="42" spans="1:33" ht="18.75" customHeight="1" x14ac:dyDescent="0.25">
      <c r="A42" s="26"/>
      <c r="B42" s="2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6"/>
      <c r="W42" s="26"/>
      <c r="X42" s="26"/>
      <c r="Y42" s="26"/>
      <c r="Z42" s="26"/>
      <c r="AA42" s="26"/>
      <c r="AB42" s="26"/>
      <c r="AC42" s="26"/>
      <c r="AD42" s="26"/>
      <c r="AE42" s="27"/>
      <c r="AF42" s="27"/>
      <c r="AG42" s="27"/>
    </row>
    <row r="43" spans="1:33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</row>
    <row r="44" spans="1:33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</row>
    <row r="45" spans="1:33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 spans="1:33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:33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 spans="1:33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 spans="1:33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</row>
    <row r="50" spans="1:33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</row>
    <row r="51" spans="1:33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</row>
    <row r="52" spans="1:33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</row>
    <row r="53" spans="1:33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</row>
    <row r="54" spans="1:33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</row>
    <row r="55" spans="1:33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</row>
    <row r="56" spans="1:33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</row>
    <row r="57" spans="1:33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 spans="1:33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 spans="1:33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</sheetData>
  <mergeCells count="1">
    <mergeCell ref="W8:Y8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DCB7-DC5B-4AF6-949B-23307861A1DF}">
  <sheetPr>
    <tabColor rgb="FFFFFF00"/>
  </sheetPr>
  <dimension ref="A2:K228"/>
  <sheetViews>
    <sheetView topLeftCell="A242" zoomScaleNormal="100" workbookViewId="0">
      <selection sqref="A1:L230"/>
    </sheetView>
  </sheetViews>
  <sheetFormatPr baseColWidth="10" defaultRowHeight="15" x14ac:dyDescent="0.25"/>
  <cols>
    <col min="1" max="1" width="25" bestFit="1" customWidth="1"/>
    <col min="2" max="2" width="19.140625" bestFit="1" customWidth="1"/>
    <col min="3" max="4" width="24" bestFit="1" customWidth="1"/>
    <col min="5" max="5" width="21.7109375" bestFit="1" customWidth="1"/>
    <col min="6" max="6" width="12" bestFit="1" customWidth="1"/>
    <col min="8" max="8" width="25" bestFit="1" customWidth="1"/>
    <col min="9" max="9" width="19.140625" bestFit="1" customWidth="1"/>
  </cols>
  <sheetData>
    <row r="2" spans="1:11" x14ac:dyDescent="0.25">
      <c r="E2" s="8" t="s">
        <v>12</v>
      </c>
      <c r="F2" s="7" t="s" vm="1">
        <v>95</v>
      </c>
      <c r="H2" s="8" t="s">
        <v>12</v>
      </c>
      <c r="I2" s="7" t="s" vm="2">
        <v>96</v>
      </c>
    </row>
    <row r="3" spans="1:11" x14ac:dyDescent="0.25">
      <c r="A3" t="s">
        <v>87</v>
      </c>
      <c r="C3" s="6" t="s">
        <v>93</v>
      </c>
      <c r="E3" s="6" t="s">
        <v>94</v>
      </c>
      <c r="H3" s="6" t="s">
        <v>98</v>
      </c>
    </row>
    <row r="4" spans="1:11" x14ac:dyDescent="0.25">
      <c r="A4" t="s">
        <v>91</v>
      </c>
      <c r="C4" s="7" t="s">
        <v>92</v>
      </c>
      <c r="E4" s="7" t="s">
        <v>97</v>
      </c>
      <c r="H4" s="7" t="s">
        <v>97</v>
      </c>
    </row>
    <row r="5" spans="1:11" x14ac:dyDescent="0.25">
      <c r="A5">
        <v>29</v>
      </c>
      <c r="C5" s="7">
        <v>0.61024425287355943</v>
      </c>
      <c r="E5">
        <v>353</v>
      </c>
      <c r="H5">
        <v>343</v>
      </c>
    </row>
    <row r="7" spans="1:11" x14ac:dyDescent="0.25">
      <c r="A7">
        <f>GETPIVOTDATA("[Measures].[Recuento distinto de Apellidos y Nombres]",$A$4)</f>
        <v>29</v>
      </c>
      <c r="C7" s="7">
        <f>GETPIVOTDATA("[Measures].[Promedio de %Asistencia]",$C$4)</f>
        <v>0.61024425287355943</v>
      </c>
      <c r="E7">
        <f>GETPIVOTDATA("[Measures].[Recuento de Estado]",$E$4)</f>
        <v>353</v>
      </c>
      <c r="H7">
        <f>GETPIVOTDATA("[Measures].[Recuento de Estado]",$H$4)</f>
        <v>343</v>
      </c>
    </row>
    <row r="12" spans="1:11" x14ac:dyDescent="0.25">
      <c r="K12" s="18"/>
    </row>
    <row r="13" spans="1:11" x14ac:dyDescent="0.25">
      <c r="A13" t="s">
        <v>99</v>
      </c>
      <c r="K13" s="19"/>
    </row>
    <row r="14" spans="1:11" x14ac:dyDescent="0.25">
      <c r="A14" s="3" t="s">
        <v>88</v>
      </c>
      <c r="B14" t="s">
        <v>90</v>
      </c>
      <c r="K14" s="20"/>
    </row>
    <row r="15" spans="1:11" x14ac:dyDescent="0.25">
      <c r="A15" s="4" t="s">
        <v>30</v>
      </c>
      <c r="B15">
        <v>12</v>
      </c>
      <c r="K15" s="21"/>
    </row>
    <row r="16" spans="1:11" x14ac:dyDescent="0.25">
      <c r="A16" s="4" t="s">
        <v>27</v>
      </c>
      <c r="B16">
        <v>331</v>
      </c>
      <c r="K16" s="22"/>
    </row>
    <row r="17" spans="1:11" x14ac:dyDescent="0.25">
      <c r="A17" s="4" t="s">
        <v>24</v>
      </c>
      <c r="B17">
        <v>338</v>
      </c>
      <c r="I17">
        <v>0</v>
      </c>
      <c r="K17" s="23"/>
    </row>
    <row r="18" spans="1:11" x14ac:dyDescent="0.25">
      <c r="A18" s="4" t="s">
        <v>21</v>
      </c>
      <c r="B18">
        <v>15</v>
      </c>
      <c r="K18" s="24"/>
    </row>
    <row r="19" spans="1:11" x14ac:dyDescent="0.25">
      <c r="A19" s="4" t="s">
        <v>89</v>
      </c>
      <c r="B19">
        <v>696</v>
      </c>
    </row>
    <row r="23" spans="1:11" x14ac:dyDescent="0.25">
      <c r="A23" s="3" t="s">
        <v>88</v>
      </c>
      <c r="B23" t="s">
        <v>90</v>
      </c>
    </row>
    <row r="24" spans="1:11" x14ac:dyDescent="0.25">
      <c r="A24" s="4" t="s">
        <v>21</v>
      </c>
      <c r="B24" s="7">
        <v>2.1551724137931036E-2</v>
      </c>
    </row>
    <row r="25" spans="1:11" x14ac:dyDescent="0.25">
      <c r="A25" s="4" t="s">
        <v>24</v>
      </c>
      <c r="B25" s="7">
        <v>0.48563218390804597</v>
      </c>
    </row>
    <row r="26" spans="1:11" x14ac:dyDescent="0.25">
      <c r="A26" s="4" t="s">
        <v>27</v>
      </c>
      <c r="B26" s="7">
        <v>0.47557471264367818</v>
      </c>
    </row>
    <row r="27" spans="1:11" x14ac:dyDescent="0.25">
      <c r="A27" s="4" t="s">
        <v>30</v>
      </c>
      <c r="B27" s="7">
        <v>1.7241379310344827E-2</v>
      </c>
    </row>
    <row r="28" spans="1:11" x14ac:dyDescent="0.25">
      <c r="A28" s="4" t="s">
        <v>89</v>
      </c>
      <c r="B28" s="7">
        <v>1</v>
      </c>
    </row>
    <row r="37" spans="1:2" x14ac:dyDescent="0.25">
      <c r="A37" s="6" t="s">
        <v>100</v>
      </c>
    </row>
    <row r="38" spans="1:2" x14ac:dyDescent="0.25">
      <c r="A38" s="8" t="s">
        <v>88</v>
      </c>
      <c r="B38" s="7" t="s">
        <v>92</v>
      </c>
    </row>
    <row r="39" spans="1:2" x14ac:dyDescent="0.25">
      <c r="A39" s="9" t="s">
        <v>79</v>
      </c>
      <c r="B39" s="7">
        <v>0.57913793103448319</v>
      </c>
    </row>
    <row r="40" spans="1:2" x14ac:dyDescent="0.25">
      <c r="A40" s="9" t="s">
        <v>82</v>
      </c>
      <c r="B40" s="7">
        <v>0.57586206896551762</v>
      </c>
    </row>
    <row r="41" spans="1:2" x14ac:dyDescent="0.25">
      <c r="A41" s="9" t="s">
        <v>81</v>
      </c>
      <c r="B41" s="7">
        <v>0.60172413793103474</v>
      </c>
    </row>
    <row r="42" spans="1:2" x14ac:dyDescent="0.25">
      <c r="A42" s="9" t="s">
        <v>83</v>
      </c>
      <c r="B42" s="7">
        <v>0.63103448275862106</v>
      </c>
    </row>
    <row r="43" spans="1:2" x14ac:dyDescent="0.25">
      <c r="A43" s="9" t="s">
        <v>17</v>
      </c>
      <c r="B43" s="7">
        <v>0.67284482758620756</v>
      </c>
    </row>
    <row r="44" spans="1:2" x14ac:dyDescent="0.25">
      <c r="A44" s="9" t="s">
        <v>80</v>
      </c>
      <c r="B44" s="7">
        <v>0.60086206896551775</v>
      </c>
    </row>
    <row r="45" spans="1:2" x14ac:dyDescent="0.25">
      <c r="A45" s="9" t="s">
        <v>89</v>
      </c>
      <c r="B45" s="7">
        <v>0.61024425287355943</v>
      </c>
    </row>
    <row r="52" spans="1:9" x14ac:dyDescent="0.25">
      <c r="A52" s="6" t="s">
        <v>101</v>
      </c>
      <c r="H52" s="6" t="s">
        <v>115</v>
      </c>
    </row>
    <row r="53" spans="1:9" x14ac:dyDescent="0.25">
      <c r="A53" s="8" t="s">
        <v>12</v>
      </c>
      <c r="B53" s="7" t="s" vm="1">
        <v>95</v>
      </c>
      <c r="H53" s="8" t="s">
        <v>12</v>
      </c>
      <c r="I53" s="7" t="s" vm="1">
        <v>95</v>
      </c>
    </row>
    <row r="54" spans="1:9" x14ac:dyDescent="0.25">
      <c r="A54" s="6" t="s">
        <v>98</v>
      </c>
      <c r="H54" s="6" t="s">
        <v>98</v>
      </c>
    </row>
    <row r="55" spans="1:9" x14ac:dyDescent="0.25">
      <c r="A55" s="8" t="s">
        <v>88</v>
      </c>
      <c r="B55" s="7" t="s">
        <v>97</v>
      </c>
      <c r="H55" s="8" t="s">
        <v>88</v>
      </c>
      <c r="I55" s="7" t="s">
        <v>97</v>
      </c>
    </row>
    <row r="56" spans="1:9" x14ac:dyDescent="0.25">
      <c r="A56" s="9" t="s">
        <v>81</v>
      </c>
      <c r="B56">
        <v>64</v>
      </c>
      <c r="H56" s="9" t="s">
        <v>81</v>
      </c>
      <c r="I56">
        <v>64</v>
      </c>
    </row>
    <row r="57" spans="1:9" x14ac:dyDescent="0.25">
      <c r="A57" s="9" t="s">
        <v>83</v>
      </c>
      <c r="B57">
        <v>63</v>
      </c>
      <c r="H57" s="9" t="s">
        <v>83</v>
      </c>
      <c r="I57">
        <v>63</v>
      </c>
    </row>
    <row r="58" spans="1:9" x14ac:dyDescent="0.25">
      <c r="A58" s="9" t="s">
        <v>80</v>
      </c>
      <c r="B58">
        <v>61</v>
      </c>
      <c r="H58" s="9" t="s">
        <v>80</v>
      </c>
      <c r="I58">
        <v>61</v>
      </c>
    </row>
    <row r="59" spans="1:9" x14ac:dyDescent="0.25">
      <c r="A59" s="9" t="s">
        <v>79</v>
      </c>
      <c r="B59">
        <v>59</v>
      </c>
      <c r="H59" s="9" t="s">
        <v>79</v>
      </c>
      <c r="I59">
        <v>59</v>
      </c>
    </row>
    <row r="60" spans="1:9" x14ac:dyDescent="0.25">
      <c r="A60" s="9" t="s">
        <v>82</v>
      </c>
      <c r="B60">
        <v>55</v>
      </c>
      <c r="H60" s="9" t="s">
        <v>82</v>
      </c>
      <c r="I60">
        <v>55</v>
      </c>
    </row>
    <row r="61" spans="1:9" x14ac:dyDescent="0.25">
      <c r="A61" s="9" t="s">
        <v>17</v>
      </c>
      <c r="B61">
        <v>51</v>
      </c>
      <c r="H61" s="9" t="s">
        <v>17</v>
      </c>
      <c r="I61">
        <v>51</v>
      </c>
    </row>
    <row r="62" spans="1:9" x14ac:dyDescent="0.25">
      <c r="A62" s="9" t="s">
        <v>89</v>
      </c>
      <c r="B62">
        <v>353</v>
      </c>
      <c r="H62" s="9" t="s">
        <v>89</v>
      </c>
      <c r="I62">
        <v>353</v>
      </c>
    </row>
    <row r="70" spans="1:3" x14ac:dyDescent="0.25">
      <c r="A70" s="6" t="s">
        <v>102</v>
      </c>
    </row>
    <row r="72" spans="1:3" x14ac:dyDescent="0.25">
      <c r="A72" s="6"/>
    </row>
    <row r="73" spans="1:3" x14ac:dyDescent="0.25">
      <c r="A73" s="8" t="s">
        <v>104</v>
      </c>
      <c r="B73" s="8" t="s">
        <v>103</v>
      </c>
      <c r="C73" s="7"/>
    </row>
    <row r="74" spans="1:3" x14ac:dyDescent="0.25">
      <c r="A74" s="8" t="s">
        <v>88</v>
      </c>
      <c r="B74" s="7" t="s">
        <v>24</v>
      </c>
      <c r="C74" s="7" t="s">
        <v>89</v>
      </c>
    </row>
    <row r="75" spans="1:3" x14ac:dyDescent="0.25">
      <c r="A75" s="9" t="s">
        <v>15</v>
      </c>
      <c r="B75">
        <v>78</v>
      </c>
      <c r="C75">
        <v>78</v>
      </c>
    </row>
    <row r="76" spans="1:3" x14ac:dyDescent="0.25">
      <c r="A76" s="9" t="s">
        <v>84</v>
      </c>
      <c r="B76">
        <v>91</v>
      </c>
      <c r="C76">
        <v>91</v>
      </c>
    </row>
    <row r="77" spans="1:3" x14ac:dyDescent="0.25">
      <c r="A77" s="9" t="s">
        <v>85</v>
      </c>
      <c r="B77">
        <v>80</v>
      </c>
      <c r="C77">
        <v>80</v>
      </c>
    </row>
    <row r="78" spans="1:3" x14ac:dyDescent="0.25">
      <c r="A78" s="9" t="s">
        <v>86</v>
      </c>
      <c r="B78">
        <v>89</v>
      </c>
      <c r="C78">
        <v>89</v>
      </c>
    </row>
    <row r="79" spans="1:3" x14ac:dyDescent="0.25">
      <c r="A79" s="9" t="s">
        <v>89</v>
      </c>
      <c r="B79">
        <v>338</v>
      </c>
      <c r="C79">
        <v>338</v>
      </c>
    </row>
    <row r="103" spans="1:2" x14ac:dyDescent="0.25">
      <c r="A103" s="6" t="s">
        <v>105</v>
      </c>
    </row>
    <row r="104" spans="1:2" x14ac:dyDescent="0.25">
      <c r="A104" s="8" t="s">
        <v>88</v>
      </c>
      <c r="B104" s="7" t="s">
        <v>92</v>
      </c>
    </row>
    <row r="105" spans="1:2" x14ac:dyDescent="0.25">
      <c r="A105" s="9" t="s">
        <v>15</v>
      </c>
      <c r="B105" s="7">
        <v>0.59741379310344922</v>
      </c>
    </row>
    <row r="106" spans="1:2" x14ac:dyDescent="0.25">
      <c r="A106" s="9" t="s">
        <v>84</v>
      </c>
      <c r="B106" s="7">
        <v>0.61712643678160994</v>
      </c>
    </row>
    <row r="107" spans="1:2" x14ac:dyDescent="0.25">
      <c r="A107" s="9" t="s">
        <v>85</v>
      </c>
      <c r="B107" s="7">
        <v>0.60660919540229963</v>
      </c>
    </row>
    <row r="108" spans="1:2" x14ac:dyDescent="0.25">
      <c r="A108" s="9" t="s">
        <v>86</v>
      </c>
      <c r="B108" s="7">
        <v>0.61982758620689737</v>
      </c>
    </row>
    <row r="109" spans="1:2" x14ac:dyDescent="0.25">
      <c r="A109" s="9" t="s">
        <v>89</v>
      </c>
      <c r="B109" s="7">
        <v>0.61024425287355943</v>
      </c>
    </row>
    <row r="133" spans="1:3" x14ac:dyDescent="0.25">
      <c r="A133" s="6" t="s">
        <v>106</v>
      </c>
    </row>
    <row r="134" spans="1:3" x14ac:dyDescent="0.25">
      <c r="A134" s="8" t="s">
        <v>88</v>
      </c>
    </row>
    <row r="135" spans="1:3" x14ac:dyDescent="0.25">
      <c r="A135" s="9" t="s">
        <v>42</v>
      </c>
      <c r="C135" s="7" t="str">
        <f>+A135</f>
        <v>BENAVIDES RAMOS, Carmen Camila</v>
      </c>
    </row>
    <row r="136" spans="1:3" x14ac:dyDescent="0.25">
      <c r="A136" s="9" t="s">
        <v>56</v>
      </c>
    </row>
    <row r="137" spans="1:3" x14ac:dyDescent="0.25">
      <c r="A137" s="9" t="s">
        <v>54</v>
      </c>
    </row>
    <row r="138" spans="1:3" x14ac:dyDescent="0.25">
      <c r="A138" s="9" t="s">
        <v>52</v>
      </c>
    </row>
    <row r="139" spans="1:3" x14ac:dyDescent="0.25">
      <c r="A139" s="9" t="s">
        <v>38</v>
      </c>
    </row>
    <row r="140" spans="1:3" x14ac:dyDescent="0.25">
      <c r="A140" s="9" t="s">
        <v>46</v>
      </c>
    </row>
    <row r="141" spans="1:3" x14ac:dyDescent="0.25">
      <c r="A141" s="9" t="s">
        <v>40</v>
      </c>
    </row>
    <row r="142" spans="1:3" x14ac:dyDescent="0.25">
      <c r="A142" s="9" t="s">
        <v>62</v>
      </c>
    </row>
    <row r="143" spans="1:3" x14ac:dyDescent="0.25">
      <c r="A143" s="9" t="s">
        <v>58</v>
      </c>
    </row>
    <row r="144" spans="1:3" x14ac:dyDescent="0.25">
      <c r="A144" s="9" t="s">
        <v>34</v>
      </c>
    </row>
    <row r="145" spans="1:1" x14ac:dyDescent="0.25">
      <c r="A145" s="9" t="s">
        <v>26</v>
      </c>
    </row>
    <row r="146" spans="1:1" x14ac:dyDescent="0.25">
      <c r="A146" s="9" t="s">
        <v>74</v>
      </c>
    </row>
    <row r="147" spans="1:1" x14ac:dyDescent="0.25">
      <c r="A147" s="9" t="s">
        <v>60</v>
      </c>
    </row>
    <row r="148" spans="1:1" x14ac:dyDescent="0.25">
      <c r="A148" s="9" t="s">
        <v>70</v>
      </c>
    </row>
    <row r="149" spans="1:1" x14ac:dyDescent="0.25">
      <c r="A149" s="9" t="s">
        <v>66</v>
      </c>
    </row>
    <row r="150" spans="1:1" x14ac:dyDescent="0.25">
      <c r="A150" s="9" t="s">
        <v>72</v>
      </c>
    </row>
    <row r="151" spans="1:1" x14ac:dyDescent="0.25">
      <c r="A151" s="9" t="s">
        <v>44</v>
      </c>
    </row>
    <row r="152" spans="1:1" x14ac:dyDescent="0.25">
      <c r="A152" s="9" t="s">
        <v>78</v>
      </c>
    </row>
    <row r="153" spans="1:1" x14ac:dyDescent="0.25">
      <c r="A153" s="9" t="s">
        <v>48</v>
      </c>
    </row>
    <row r="154" spans="1:1" x14ac:dyDescent="0.25">
      <c r="A154" s="9" t="s">
        <v>16</v>
      </c>
    </row>
    <row r="155" spans="1:1" x14ac:dyDescent="0.25">
      <c r="A155" s="9" t="s">
        <v>36</v>
      </c>
    </row>
    <row r="156" spans="1:1" x14ac:dyDescent="0.25">
      <c r="A156" s="9" t="s">
        <v>50</v>
      </c>
    </row>
    <row r="157" spans="1:1" x14ac:dyDescent="0.25">
      <c r="A157" s="9" t="s">
        <v>64</v>
      </c>
    </row>
    <row r="158" spans="1:1" x14ac:dyDescent="0.25">
      <c r="A158" s="9" t="s">
        <v>32</v>
      </c>
    </row>
    <row r="159" spans="1:1" x14ac:dyDescent="0.25">
      <c r="A159" s="9" t="s">
        <v>68</v>
      </c>
    </row>
    <row r="160" spans="1:1" x14ac:dyDescent="0.25">
      <c r="A160" s="9" t="s">
        <v>29</v>
      </c>
    </row>
    <row r="161" spans="1:7" x14ac:dyDescent="0.25">
      <c r="A161" s="9" t="s">
        <v>76</v>
      </c>
    </row>
    <row r="162" spans="1:7" x14ac:dyDescent="0.25">
      <c r="A162" s="9" t="s">
        <v>20</v>
      </c>
    </row>
    <row r="163" spans="1:7" x14ac:dyDescent="0.25">
      <c r="A163" s="9" t="s">
        <v>23</v>
      </c>
    </row>
    <row r="164" spans="1:7" x14ac:dyDescent="0.25">
      <c r="A164" s="9" t="s">
        <v>89</v>
      </c>
    </row>
    <row r="172" spans="1:7" x14ac:dyDescent="0.25">
      <c r="A172" s="6" t="s">
        <v>107</v>
      </c>
      <c r="C172" s="6" t="s">
        <v>109</v>
      </c>
    </row>
    <row r="173" spans="1:7" x14ac:dyDescent="0.25">
      <c r="A173" s="7" t="s">
        <v>108</v>
      </c>
      <c r="C173" s="8" t="s">
        <v>88</v>
      </c>
      <c r="D173" s="7" t="s">
        <v>110</v>
      </c>
      <c r="F173" s="30" t="s">
        <v>18</v>
      </c>
      <c r="G173" s="30"/>
    </row>
    <row r="174" spans="1:7" x14ac:dyDescent="0.25">
      <c r="A174">
        <v>6</v>
      </c>
      <c r="C174" s="9" t="s">
        <v>79</v>
      </c>
      <c r="D174">
        <v>1.5120689655172412</v>
      </c>
      <c r="F174">
        <v>3</v>
      </c>
      <c r="G174" t="s">
        <v>21</v>
      </c>
    </row>
    <row r="175" spans="1:7" x14ac:dyDescent="0.25">
      <c r="C175" s="9" t="s">
        <v>82</v>
      </c>
      <c r="D175">
        <v>1.470689655172414</v>
      </c>
      <c r="F175">
        <v>2</v>
      </c>
      <c r="G175" t="s">
        <v>24</v>
      </c>
    </row>
    <row r="176" spans="1:7" x14ac:dyDescent="0.25">
      <c r="C176" s="9" t="s">
        <v>81</v>
      </c>
      <c r="D176">
        <v>1.5568965517241371</v>
      </c>
      <c r="F176">
        <v>1</v>
      </c>
      <c r="G176" t="s">
        <v>27</v>
      </c>
    </row>
    <row r="177" spans="3:7" x14ac:dyDescent="0.25">
      <c r="C177" s="9" t="s">
        <v>83</v>
      </c>
      <c r="D177">
        <v>1.5327586206896542</v>
      </c>
      <c r="F177">
        <v>0</v>
      </c>
      <c r="G177" t="s">
        <v>30</v>
      </c>
    </row>
    <row r="178" spans="3:7" x14ac:dyDescent="0.25">
      <c r="C178" s="9" t="s">
        <v>17</v>
      </c>
      <c r="D178">
        <v>1.4724137931034484</v>
      </c>
    </row>
    <row r="179" spans="3:7" x14ac:dyDescent="0.25">
      <c r="C179" s="9" t="s">
        <v>80</v>
      </c>
      <c r="D179">
        <v>1.5206896551724145</v>
      </c>
    </row>
    <row r="180" spans="3:7" x14ac:dyDescent="0.25">
      <c r="C180" s="9" t="s">
        <v>89</v>
      </c>
      <c r="D180">
        <v>1.5109195402298852</v>
      </c>
    </row>
    <row r="184" spans="3:7" x14ac:dyDescent="0.25">
      <c r="C184" s="9" t="s">
        <v>79</v>
      </c>
      <c r="D184" t="str">
        <f>VLOOKUP(ROUND(D174,0),$F$173:$G$177,2,FALSE)</f>
        <v>A</v>
      </c>
    </row>
    <row r="185" spans="3:7" x14ac:dyDescent="0.25">
      <c r="C185" s="9" t="s">
        <v>82</v>
      </c>
      <c r="D185" t="str">
        <f t="shared" ref="D185:D189" si="0">VLOOKUP(ROUND(D175,0),$F$173:$G$177,2,FALSE)</f>
        <v>B</v>
      </c>
    </row>
    <row r="186" spans="3:7" x14ac:dyDescent="0.25">
      <c r="C186" s="9" t="s">
        <v>81</v>
      </c>
      <c r="D186" t="str">
        <f t="shared" si="0"/>
        <v>A</v>
      </c>
    </row>
    <row r="187" spans="3:7" x14ac:dyDescent="0.25">
      <c r="C187" s="9" t="s">
        <v>83</v>
      </c>
      <c r="D187" t="str">
        <f t="shared" si="0"/>
        <v>A</v>
      </c>
    </row>
    <row r="188" spans="3:7" x14ac:dyDescent="0.25">
      <c r="C188" s="9" t="s">
        <v>17</v>
      </c>
      <c r="D188" t="str">
        <f t="shared" si="0"/>
        <v>B</v>
      </c>
    </row>
    <row r="189" spans="3:7" x14ac:dyDescent="0.25">
      <c r="C189" s="9" t="s">
        <v>80</v>
      </c>
      <c r="D189" t="str">
        <f t="shared" si="0"/>
        <v>A</v>
      </c>
    </row>
    <row r="194" spans="3:4" x14ac:dyDescent="0.25">
      <c r="C194" t="s">
        <v>111</v>
      </c>
      <c r="D194" t="s">
        <v>112</v>
      </c>
    </row>
    <row r="195" spans="3:4" x14ac:dyDescent="0.25">
      <c r="C195">
        <f>COUNTIF($D$184:$D$189,"A") + COUNTIF($D$184:$D$189,"AD")</f>
        <v>4</v>
      </c>
      <c r="D195">
        <f>GETPIVOTDATA("[Measures].[Recuento distinto de Cursos]",$A$173)-C195</f>
        <v>2</v>
      </c>
    </row>
    <row r="198" spans="3:4" x14ac:dyDescent="0.25">
      <c r="C198" t="s">
        <v>113</v>
      </c>
    </row>
    <row r="199" spans="3:4" x14ac:dyDescent="0.25">
      <c r="C199" s="5">
        <f>C195/GETPIVOTDATA("[Measures].[Recuento distinto de Cursos]",$A$173)</f>
        <v>0.66666666666666663</v>
      </c>
      <c r="D199" s="2">
        <f>1-C199</f>
        <v>0.33333333333333337</v>
      </c>
    </row>
    <row r="220" spans="3:4" x14ac:dyDescent="0.25">
      <c r="C220" s="6" t="s">
        <v>114</v>
      </c>
    </row>
    <row r="221" spans="3:4" x14ac:dyDescent="0.25">
      <c r="C221" s="8" t="s">
        <v>88</v>
      </c>
      <c r="D221" s="7" t="s">
        <v>92</v>
      </c>
    </row>
    <row r="222" spans="3:4" x14ac:dyDescent="0.25">
      <c r="C222" s="9" t="s">
        <v>79</v>
      </c>
      <c r="D222" s="7">
        <v>0.57913793103448319</v>
      </c>
    </row>
    <row r="223" spans="3:4" x14ac:dyDescent="0.25">
      <c r="C223" s="9" t="s">
        <v>82</v>
      </c>
      <c r="D223" s="7">
        <v>0.57586206896551762</v>
      </c>
    </row>
    <row r="224" spans="3:4" x14ac:dyDescent="0.25">
      <c r="C224" s="9" t="s">
        <v>81</v>
      </c>
      <c r="D224" s="7">
        <v>0.60172413793103474</v>
      </c>
    </row>
    <row r="225" spans="3:4" x14ac:dyDescent="0.25">
      <c r="C225" s="9" t="s">
        <v>83</v>
      </c>
      <c r="D225" s="7">
        <v>0.63103448275862106</v>
      </c>
    </row>
    <row r="226" spans="3:4" x14ac:dyDescent="0.25">
      <c r="C226" s="9" t="s">
        <v>17</v>
      </c>
      <c r="D226" s="7">
        <v>0.67284482758620756</v>
      </c>
    </row>
    <row r="227" spans="3:4" x14ac:dyDescent="0.25">
      <c r="C227" s="9" t="s">
        <v>80</v>
      </c>
      <c r="D227" s="7">
        <v>0.60086206896551775</v>
      </c>
    </row>
    <row r="228" spans="3:4" x14ac:dyDescent="0.25">
      <c r="C228" s="9" t="s">
        <v>89</v>
      </c>
      <c r="D228" s="7">
        <v>0.61024425287355943</v>
      </c>
    </row>
  </sheetData>
  <mergeCells count="1">
    <mergeCell ref="F173:G173"/>
  </mergeCells>
  <pageMargins left="0.7" right="0.7" top="0.75" bottom="0.75" header="0.3" footer="0.3"/>
  <drawing r:id="rId16"/>
  <extLst>
    <ext xmlns:x14="http://schemas.microsoft.com/office/spreadsheetml/2009/9/main" uri="{A8765BA9-456A-4dab-B4F3-ACF838C121DE}">
      <x14:slicerList>
        <x14:slicer r:id="rId1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D212-B000-4BC8-B9D5-401B35381363}">
  <sheetPr>
    <tabColor rgb="FFFF0000"/>
  </sheetPr>
  <dimension ref="A1:S697"/>
  <sheetViews>
    <sheetView topLeftCell="A376" workbookViewId="0">
      <selection activeCell="P20" sqref="P20"/>
    </sheetView>
  </sheetViews>
  <sheetFormatPr baseColWidth="10" defaultRowHeight="15" x14ac:dyDescent="0.25"/>
  <cols>
    <col min="1" max="1" width="12.85546875" customWidth="1"/>
    <col min="3" max="3" width="33" bestFit="1" customWidth="1"/>
    <col min="10" max="10" width="16.5703125" customWidth="1"/>
    <col min="11" max="11" width="13" customWidth="1"/>
    <col min="12" max="12" width="11.42578125" style="1"/>
    <col min="14" max="14" width="14" customWidth="1"/>
    <col min="18" max="18" width="13.7109375" bestFit="1" customWidth="1"/>
  </cols>
  <sheetData>
    <row r="1" spans="1:19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6" t="s">
        <v>12</v>
      </c>
      <c r="N1" s="16" t="s">
        <v>13</v>
      </c>
    </row>
    <row r="2" spans="1:19" x14ac:dyDescent="0.25">
      <c r="A2" s="10" t="s">
        <v>14</v>
      </c>
      <c r="B2" s="10" t="s">
        <v>15</v>
      </c>
      <c r="C2" s="10" t="s">
        <v>16</v>
      </c>
      <c r="D2" s="10" t="s">
        <v>17</v>
      </c>
      <c r="E2" s="10">
        <v>1</v>
      </c>
      <c r="F2" s="10">
        <v>2</v>
      </c>
      <c r="G2" s="10">
        <v>2</v>
      </c>
      <c r="H2" s="10">
        <v>1</v>
      </c>
      <c r="I2" s="10">
        <v>1</v>
      </c>
      <c r="J2" s="10">
        <f>+AVERAGE(E2:I2)</f>
        <v>1.4</v>
      </c>
      <c r="K2" s="10">
        <f>+ROUND(J2,0)</f>
        <v>1</v>
      </c>
      <c r="L2" s="11" t="str">
        <f>+_xlfn.XLOOKUP(K2,$R$3:$R$6,$S$3:$S$6)</f>
        <v>B</v>
      </c>
      <c r="M2" s="10" t="str">
        <f>+IF(OR(L2="AD",L2="A"),"Aprobado","Desaprobado")</f>
        <v>Desaprobado</v>
      </c>
      <c r="N2" s="14">
        <v>0.95</v>
      </c>
      <c r="R2" s="30" t="s">
        <v>18</v>
      </c>
      <c r="S2" s="30"/>
    </row>
    <row r="3" spans="1:19" x14ac:dyDescent="0.25">
      <c r="A3" s="12" t="s">
        <v>19</v>
      </c>
      <c r="B3" s="12" t="s">
        <v>15</v>
      </c>
      <c r="C3" s="12" t="s">
        <v>20</v>
      </c>
      <c r="D3" s="12" t="s">
        <v>17</v>
      </c>
      <c r="E3" s="12">
        <v>1</v>
      </c>
      <c r="F3" s="12">
        <v>0</v>
      </c>
      <c r="G3" s="12">
        <v>3</v>
      </c>
      <c r="H3" s="12">
        <v>0</v>
      </c>
      <c r="I3" s="12">
        <v>0</v>
      </c>
      <c r="J3" s="12">
        <f t="shared" ref="J3:J66" si="0">+AVERAGE(E3:I3)</f>
        <v>0.8</v>
      </c>
      <c r="K3" s="12">
        <f t="shared" ref="K3:K66" si="1">+ROUND(J3,0)</f>
        <v>1</v>
      </c>
      <c r="L3" s="13" t="str">
        <f t="shared" ref="L3:L66" si="2">+_xlfn.XLOOKUP(K3,$R$3:$R$6,$S$3:$S$6)</f>
        <v>B</v>
      </c>
      <c r="M3" s="12" t="str">
        <f t="shared" ref="M3:M66" si="3">+IF(OR(L3="AD",L3="A"),"Aprobado","Desaprobado")</f>
        <v>Desaprobado</v>
      </c>
      <c r="N3" s="15">
        <v>0.6</v>
      </c>
      <c r="R3">
        <v>3</v>
      </c>
      <c r="S3" t="s">
        <v>21</v>
      </c>
    </row>
    <row r="4" spans="1:19" x14ac:dyDescent="0.25">
      <c r="A4" s="10" t="s">
        <v>22</v>
      </c>
      <c r="B4" s="10" t="s">
        <v>15</v>
      </c>
      <c r="C4" s="10" t="s">
        <v>23</v>
      </c>
      <c r="D4" s="10" t="s">
        <v>17</v>
      </c>
      <c r="E4" s="10">
        <v>2</v>
      </c>
      <c r="F4" s="10">
        <v>2</v>
      </c>
      <c r="G4" s="10">
        <v>0</v>
      </c>
      <c r="H4" s="10">
        <v>0</v>
      </c>
      <c r="I4" s="10">
        <v>1</v>
      </c>
      <c r="J4" s="10">
        <f t="shared" si="0"/>
        <v>1</v>
      </c>
      <c r="K4" s="10">
        <f t="shared" si="1"/>
        <v>1</v>
      </c>
      <c r="L4" s="11" t="str">
        <f t="shared" si="2"/>
        <v>B</v>
      </c>
      <c r="M4" s="10" t="str">
        <f t="shared" si="3"/>
        <v>Desaprobado</v>
      </c>
      <c r="N4" s="14">
        <v>0.1</v>
      </c>
      <c r="R4">
        <v>2</v>
      </c>
      <c r="S4" t="s">
        <v>24</v>
      </c>
    </row>
    <row r="5" spans="1:19" x14ac:dyDescent="0.25">
      <c r="A5" s="12" t="s">
        <v>25</v>
      </c>
      <c r="B5" s="12" t="s">
        <v>15</v>
      </c>
      <c r="C5" s="12" t="s">
        <v>26</v>
      </c>
      <c r="D5" s="12" t="s">
        <v>17</v>
      </c>
      <c r="E5" s="12">
        <v>3</v>
      </c>
      <c r="F5" s="12">
        <v>0</v>
      </c>
      <c r="G5" s="12">
        <v>2</v>
      </c>
      <c r="H5" s="12">
        <v>0</v>
      </c>
      <c r="I5" s="12">
        <v>2</v>
      </c>
      <c r="J5" s="12">
        <f t="shared" si="0"/>
        <v>1.4</v>
      </c>
      <c r="K5" s="12">
        <f t="shared" si="1"/>
        <v>1</v>
      </c>
      <c r="L5" s="13" t="str">
        <f t="shared" si="2"/>
        <v>B</v>
      </c>
      <c r="M5" s="12" t="str">
        <f t="shared" si="3"/>
        <v>Desaprobado</v>
      </c>
      <c r="N5" s="15">
        <v>0.9</v>
      </c>
      <c r="R5">
        <v>1</v>
      </c>
      <c r="S5" t="s">
        <v>27</v>
      </c>
    </row>
    <row r="6" spans="1:19" x14ac:dyDescent="0.25">
      <c r="A6" s="10" t="s">
        <v>28</v>
      </c>
      <c r="B6" s="10" t="s">
        <v>15</v>
      </c>
      <c r="C6" s="10" t="s">
        <v>29</v>
      </c>
      <c r="D6" s="10" t="s">
        <v>17</v>
      </c>
      <c r="E6" s="10">
        <v>0</v>
      </c>
      <c r="F6" s="10">
        <v>0</v>
      </c>
      <c r="G6" s="10">
        <v>2</v>
      </c>
      <c r="H6" s="10">
        <v>0</v>
      </c>
      <c r="I6" s="10">
        <v>1</v>
      </c>
      <c r="J6" s="10">
        <f t="shared" si="0"/>
        <v>0.6</v>
      </c>
      <c r="K6" s="10">
        <f t="shared" si="1"/>
        <v>1</v>
      </c>
      <c r="L6" s="11" t="str">
        <f t="shared" si="2"/>
        <v>B</v>
      </c>
      <c r="M6" s="10" t="str">
        <f t="shared" si="3"/>
        <v>Desaprobado</v>
      </c>
      <c r="N6" s="14">
        <v>0.95</v>
      </c>
      <c r="R6">
        <v>0</v>
      </c>
      <c r="S6" t="s">
        <v>30</v>
      </c>
    </row>
    <row r="7" spans="1:19" x14ac:dyDescent="0.25">
      <c r="A7" s="12" t="s">
        <v>31</v>
      </c>
      <c r="B7" s="12" t="s">
        <v>15</v>
      </c>
      <c r="C7" s="12" t="s">
        <v>32</v>
      </c>
      <c r="D7" s="12" t="s">
        <v>17</v>
      </c>
      <c r="E7" s="12">
        <v>2</v>
      </c>
      <c r="F7" s="12">
        <v>0</v>
      </c>
      <c r="G7" s="12">
        <v>2</v>
      </c>
      <c r="H7" s="12">
        <v>1</v>
      </c>
      <c r="I7" s="12">
        <v>3</v>
      </c>
      <c r="J7" s="12">
        <f t="shared" si="0"/>
        <v>1.6</v>
      </c>
      <c r="K7" s="12">
        <f t="shared" si="1"/>
        <v>2</v>
      </c>
      <c r="L7" s="13" t="str">
        <f t="shared" si="2"/>
        <v>A</v>
      </c>
      <c r="M7" s="12" t="str">
        <f t="shared" si="3"/>
        <v>Aprobado</v>
      </c>
      <c r="N7" s="15">
        <v>0.7</v>
      </c>
    </row>
    <row r="8" spans="1:19" x14ac:dyDescent="0.25">
      <c r="A8" s="10" t="s">
        <v>33</v>
      </c>
      <c r="B8" s="10" t="s">
        <v>15</v>
      </c>
      <c r="C8" s="10" t="s">
        <v>34</v>
      </c>
      <c r="D8" s="10" t="s">
        <v>17</v>
      </c>
      <c r="E8" s="10">
        <v>2</v>
      </c>
      <c r="F8" s="10">
        <v>2</v>
      </c>
      <c r="G8" s="10">
        <v>3</v>
      </c>
      <c r="H8" s="10">
        <v>1</v>
      </c>
      <c r="I8" s="10">
        <v>1</v>
      </c>
      <c r="J8" s="10">
        <f t="shared" si="0"/>
        <v>1.8</v>
      </c>
      <c r="K8" s="10">
        <f t="shared" si="1"/>
        <v>2</v>
      </c>
      <c r="L8" s="11" t="str">
        <f t="shared" si="2"/>
        <v>A</v>
      </c>
      <c r="M8" s="10" t="str">
        <f t="shared" si="3"/>
        <v>Aprobado</v>
      </c>
      <c r="N8" s="14">
        <v>0.2</v>
      </c>
    </row>
    <row r="9" spans="1:19" x14ac:dyDescent="0.25">
      <c r="A9" s="12" t="s">
        <v>35</v>
      </c>
      <c r="B9" s="12" t="s">
        <v>15</v>
      </c>
      <c r="C9" s="12" t="s">
        <v>36</v>
      </c>
      <c r="D9" s="12" t="s">
        <v>17</v>
      </c>
      <c r="E9" s="12">
        <v>0</v>
      </c>
      <c r="F9" s="12">
        <v>1</v>
      </c>
      <c r="G9" s="12">
        <v>2</v>
      </c>
      <c r="H9" s="12">
        <v>1</v>
      </c>
      <c r="I9" s="12">
        <v>2</v>
      </c>
      <c r="J9" s="12">
        <f t="shared" si="0"/>
        <v>1.2</v>
      </c>
      <c r="K9" s="12">
        <f t="shared" si="1"/>
        <v>1</v>
      </c>
      <c r="L9" s="13" t="str">
        <f t="shared" si="2"/>
        <v>B</v>
      </c>
      <c r="M9" s="12" t="str">
        <f t="shared" si="3"/>
        <v>Desaprobado</v>
      </c>
      <c r="N9" s="15">
        <v>0.95</v>
      </c>
    </row>
    <row r="10" spans="1:19" x14ac:dyDescent="0.25">
      <c r="A10" s="10" t="s">
        <v>37</v>
      </c>
      <c r="B10" s="10" t="s">
        <v>15</v>
      </c>
      <c r="C10" s="10" t="s">
        <v>38</v>
      </c>
      <c r="D10" s="10" t="s">
        <v>17</v>
      </c>
      <c r="E10" s="10">
        <v>2</v>
      </c>
      <c r="F10" s="10">
        <v>1</v>
      </c>
      <c r="G10" s="10">
        <v>1</v>
      </c>
      <c r="H10" s="10">
        <v>1</v>
      </c>
      <c r="I10" s="10">
        <v>1</v>
      </c>
      <c r="J10" s="10">
        <f t="shared" si="0"/>
        <v>1.2</v>
      </c>
      <c r="K10" s="10">
        <f t="shared" si="1"/>
        <v>1</v>
      </c>
      <c r="L10" s="11" t="str">
        <f t="shared" si="2"/>
        <v>B</v>
      </c>
      <c r="M10" s="10" t="str">
        <f t="shared" si="3"/>
        <v>Desaprobado</v>
      </c>
      <c r="N10" s="14">
        <v>0.8</v>
      </c>
    </row>
    <row r="11" spans="1:19" x14ac:dyDescent="0.25">
      <c r="A11" s="12" t="s">
        <v>39</v>
      </c>
      <c r="B11" s="12" t="s">
        <v>15</v>
      </c>
      <c r="C11" s="12" t="s">
        <v>40</v>
      </c>
      <c r="D11" s="12" t="s">
        <v>17</v>
      </c>
      <c r="E11" s="12">
        <v>2</v>
      </c>
      <c r="F11" s="12">
        <v>2</v>
      </c>
      <c r="G11" s="12">
        <v>0</v>
      </c>
      <c r="H11" s="12">
        <v>2</v>
      </c>
      <c r="I11" s="12">
        <v>0</v>
      </c>
      <c r="J11" s="12">
        <f t="shared" si="0"/>
        <v>1.2</v>
      </c>
      <c r="K11" s="12">
        <f t="shared" si="1"/>
        <v>1</v>
      </c>
      <c r="L11" s="13" t="str">
        <f t="shared" si="2"/>
        <v>B</v>
      </c>
      <c r="M11" s="12" t="str">
        <f t="shared" si="3"/>
        <v>Desaprobado</v>
      </c>
      <c r="N11" s="15">
        <v>0.25</v>
      </c>
    </row>
    <row r="12" spans="1:19" x14ac:dyDescent="0.25">
      <c r="A12" s="10" t="s">
        <v>41</v>
      </c>
      <c r="B12" s="10" t="s">
        <v>15</v>
      </c>
      <c r="C12" s="10" t="s">
        <v>42</v>
      </c>
      <c r="D12" s="10" t="s">
        <v>17</v>
      </c>
      <c r="E12" s="10">
        <v>1</v>
      </c>
      <c r="F12" s="10">
        <v>0</v>
      </c>
      <c r="G12" s="10">
        <v>2</v>
      </c>
      <c r="H12" s="10">
        <v>2</v>
      </c>
      <c r="I12" s="10">
        <v>0</v>
      </c>
      <c r="J12" s="10">
        <f t="shared" si="0"/>
        <v>1</v>
      </c>
      <c r="K12" s="10">
        <f t="shared" si="1"/>
        <v>1</v>
      </c>
      <c r="L12" s="11" t="str">
        <f t="shared" si="2"/>
        <v>B</v>
      </c>
      <c r="M12" s="10" t="str">
        <f t="shared" si="3"/>
        <v>Desaprobado</v>
      </c>
      <c r="N12" s="14">
        <v>0.4</v>
      </c>
    </row>
    <row r="13" spans="1:19" x14ac:dyDescent="0.25">
      <c r="A13" s="12" t="s">
        <v>43</v>
      </c>
      <c r="B13" s="12" t="s">
        <v>15</v>
      </c>
      <c r="C13" s="12" t="s">
        <v>44</v>
      </c>
      <c r="D13" s="12" t="s">
        <v>17</v>
      </c>
      <c r="E13" s="12">
        <v>0</v>
      </c>
      <c r="F13" s="12">
        <v>3</v>
      </c>
      <c r="G13" s="12">
        <v>0</v>
      </c>
      <c r="H13" s="12">
        <v>1</v>
      </c>
      <c r="I13" s="12">
        <v>1</v>
      </c>
      <c r="J13" s="12">
        <f t="shared" si="0"/>
        <v>1</v>
      </c>
      <c r="K13" s="12">
        <f t="shared" si="1"/>
        <v>1</v>
      </c>
      <c r="L13" s="13" t="str">
        <f t="shared" si="2"/>
        <v>B</v>
      </c>
      <c r="M13" s="12" t="str">
        <f t="shared" si="3"/>
        <v>Desaprobado</v>
      </c>
      <c r="N13" s="15">
        <v>0.4</v>
      </c>
    </row>
    <row r="14" spans="1:19" x14ac:dyDescent="0.25">
      <c r="A14" s="10" t="s">
        <v>45</v>
      </c>
      <c r="B14" s="10" t="s">
        <v>15</v>
      </c>
      <c r="C14" s="10" t="s">
        <v>46</v>
      </c>
      <c r="D14" s="10" t="s">
        <v>17</v>
      </c>
      <c r="E14" s="10">
        <v>0</v>
      </c>
      <c r="F14" s="10">
        <v>3</v>
      </c>
      <c r="G14" s="10">
        <v>0</v>
      </c>
      <c r="H14" s="10">
        <v>1</v>
      </c>
      <c r="I14" s="10">
        <v>3</v>
      </c>
      <c r="J14" s="10">
        <f t="shared" si="0"/>
        <v>1.4</v>
      </c>
      <c r="K14" s="10">
        <f t="shared" si="1"/>
        <v>1</v>
      </c>
      <c r="L14" s="11" t="str">
        <f t="shared" si="2"/>
        <v>B</v>
      </c>
      <c r="M14" s="10" t="str">
        <f t="shared" si="3"/>
        <v>Desaprobado</v>
      </c>
      <c r="N14" s="14">
        <v>0.5</v>
      </c>
    </row>
    <row r="15" spans="1:19" x14ac:dyDescent="0.25">
      <c r="A15" s="12" t="s">
        <v>47</v>
      </c>
      <c r="B15" s="12" t="s">
        <v>15</v>
      </c>
      <c r="C15" s="12" t="s">
        <v>48</v>
      </c>
      <c r="D15" s="12" t="s">
        <v>17</v>
      </c>
      <c r="E15" s="12">
        <v>3</v>
      </c>
      <c r="F15" s="12">
        <v>1</v>
      </c>
      <c r="G15" s="12">
        <v>3</v>
      </c>
      <c r="H15" s="12">
        <v>3</v>
      </c>
      <c r="I15" s="12">
        <v>3</v>
      </c>
      <c r="J15" s="12">
        <f t="shared" si="0"/>
        <v>2.6</v>
      </c>
      <c r="K15" s="12">
        <f t="shared" si="1"/>
        <v>3</v>
      </c>
      <c r="L15" s="13" t="str">
        <f t="shared" si="2"/>
        <v>AD</v>
      </c>
      <c r="M15" s="12" t="str">
        <f t="shared" si="3"/>
        <v>Aprobado</v>
      </c>
      <c r="N15" s="15">
        <v>0.7</v>
      </c>
    </row>
    <row r="16" spans="1:19" x14ac:dyDescent="0.25">
      <c r="A16" s="10" t="s">
        <v>49</v>
      </c>
      <c r="B16" s="10" t="s">
        <v>15</v>
      </c>
      <c r="C16" s="10" t="s">
        <v>50</v>
      </c>
      <c r="D16" s="10" t="s">
        <v>17</v>
      </c>
      <c r="E16" s="10">
        <v>0</v>
      </c>
      <c r="F16" s="10">
        <v>0</v>
      </c>
      <c r="G16" s="10">
        <v>1</v>
      </c>
      <c r="H16" s="10">
        <v>0</v>
      </c>
      <c r="I16" s="10">
        <v>3</v>
      </c>
      <c r="J16" s="10">
        <f t="shared" si="0"/>
        <v>0.8</v>
      </c>
      <c r="K16" s="10">
        <f t="shared" si="1"/>
        <v>1</v>
      </c>
      <c r="L16" s="11" t="str">
        <f t="shared" si="2"/>
        <v>B</v>
      </c>
      <c r="M16" s="10" t="str">
        <f t="shared" si="3"/>
        <v>Desaprobado</v>
      </c>
      <c r="N16" s="14">
        <v>0.7</v>
      </c>
    </row>
    <row r="17" spans="1:14" x14ac:dyDescent="0.25">
      <c r="A17" s="12" t="s">
        <v>51</v>
      </c>
      <c r="B17" s="12" t="s">
        <v>15</v>
      </c>
      <c r="C17" s="12" t="s">
        <v>52</v>
      </c>
      <c r="D17" s="12" t="s">
        <v>17</v>
      </c>
      <c r="E17" s="12">
        <v>1</v>
      </c>
      <c r="F17" s="12">
        <v>0</v>
      </c>
      <c r="G17" s="12">
        <v>3</v>
      </c>
      <c r="H17" s="12">
        <v>2</v>
      </c>
      <c r="I17" s="12">
        <v>1</v>
      </c>
      <c r="J17" s="12">
        <f t="shared" si="0"/>
        <v>1.4</v>
      </c>
      <c r="K17" s="12">
        <f t="shared" si="1"/>
        <v>1</v>
      </c>
      <c r="L17" s="13" t="str">
        <f t="shared" si="2"/>
        <v>B</v>
      </c>
      <c r="M17" s="12" t="str">
        <f t="shared" si="3"/>
        <v>Desaprobado</v>
      </c>
      <c r="N17" s="15">
        <v>0.25</v>
      </c>
    </row>
    <row r="18" spans="1:14" x14ac:dyDescent="0.25">
      <c r="A18" s="10" t="s">
        <v>53</v>
      </c>
      <c r="B18" s="10" t="s">
        <v>15</v>
      </c>
      <c r="C18" s="10" t="s">
        <v>54</v>
      </c>
      <c r="D18" s="10" t="s">
        <v>17</v>
      </c>
      <c r="E18" s="10">
        <v>0</v>
      </c>
      <c r="F18" s="10">
        <v>2</v>
      </c>
      <c r="G18" s="10">
        <v>3</v>
      </c>
      <c r="H18" s="10">
        <v>2</v>
      </c>
      <c r="I18" s="10">
        <v>1</v>
      </c>
      <c r="J18" s="10">
        <f t="shared" si="0"/>
        <v>1.6</v>
      </c>
      <c r="K18" s="10">
        <f t="shared" si="1"/>
        <v>2</v>
      </c>
      <c r="L18" s="11" t="str">
        <f t="shared" si="2"/>
        <v>A</v>
      </c>
      <c r="M18" s="10" t="str">
        <f t="shared" si="3"/>
        <v>Aprobado</v>
      </c>
      <c r="N18" s="14">
        <v>0.2</v>
      </c>
    </row>
    <row r="19" spans="1:14" x14ac:dyDescent="0.25">
      <c r="A19" s="12" t="s">
        <v>55</v>
      </c>
      <c r="B19" s="12" t="s">
        <v>15</v>
      </c>
      <c r="C19" s="12" t="s">
        <v>56</v>
      </c>
      <c r="D19" s="12" t="s">
        <v>17</v>
      </c>
      <c r="E19" s="12">
        <v>1</v>
      </c>
      <c r="F19" s="12">
        <v>1</v>
      </c>
      <c r="G19" s="12">
        <v>2</v>
      </c>
      <c r="H19" s="12">
        <v>1</v>
      </c>
      <c r="I19" s="12">
        <v>3</v>
      </c>
      <c r="J19" s="12">
        <f t="shared" si="0"/>
        <v>1.6</v>
      </c>
      <c r="K19" s="12">
        <f t="shared" si="1"/>
        <v>2</v>
      </c>
      <c r="L19" s="13" t="str">
        <f t="shared" si="2"/>
        <v>A</v>
      </c>
      <c r="M19" s="12" t="str">
        <f t="shared" si="3"/>
        <v>Aprobado</v>
      </c>
      <c r="N19" s="15">
        <v>0.65</v>
      </c>
    </row>
    <row r="20" spans="1:14" x14ac:dyDescent="0.25">
      <c r="A20" s="10" t="s">
        <v>57</v>
      </c>
      <c r="B20" s="10" t="s">
        <v>15</v>
      </c>
      <c r="C20" s="10" t="s">
        <v>58</v>
      </c>
      <c r="D20" s="10" t="s">
        <v>17</v>
      </c>
      <c r="E20" s="10">
        <v>3</v>
      </c>
      <c r="F20" s="10">
        <v>2</v>
      </c>
      <c r="G20" s="10">
        <v>3</v>
      </c>
      <c r="H20" s="10">
        <v>1</v>
      </c>
      <c r="I20" s="10">
        <v>2</v>
      </c>
      <c r="J20" s="10">
        <f t="shared" si="0"/>
        <v>2.2000000000000002</v>
      </c>
      <c r="K20" s="10">
        <f t="shared" si="1"/>
        <v>2</v>
      </c>
      <c r="L20" s="11" t="str">
        <f t="shared" si="2"/>
        <v>A</v>
      </c>
      <c r="M20" s="10" t="str">
        <f t="shared" si="3"/>
        <v>Aprobado</v>
      </c>
      <c r="N20" s="14">
        <v>0.7</v>
      </c>
    </row>
    <row r="21" spans="1:14" x14ac:dyDescent="0.25">
      <c r="A21" s="12" t="s">
        <v>59</v>
      </c>
      <c r="B21" s="12" t="s">
        <v>15</v>
      </c>
      <c r="C21" s="12" t="s">
        <v>60</v>
      </c>
      <c r="D21" s="12" t="s">
        <v>17</v>
      </c>
      <c r="E21" s="12">
        <v>1</v>
      </c>
      <c r="F21" s="12">
        <v>1</v>
      </c>
      <c r="G21" s="12">
        <v>0</v>
      </c>
      <c r="H21" s="12">
        <v>0</v>
      </c>
      <c r="I21" s="12">
        <v>3</v>
      </c>
      <c r="J21" s="12">
        <f t="shared" si="0"/>
        <v>1</v>
      </c>
      <c r="K21" s="12">
        <f t="shared" si="1"/>
        <v>1</v>
      </c>
      <c r="L21" s="13" t="str">
        <f t="shared" si="2"/>
        <v>B</v>
      </c>
      <c r="M21" s="12" t="str">
        <f t="shared" si="3"/>
        <v>Desaprobado</v>
      </c>
      <c r="N21" s="15">
        <v>0.9</v>
      </c>
    </row>
    <row r="22" spans="1:14" x14ac:dyDescent="0.25">
      <c r="A22" s="10" t="s">
        <v>61</v>
      </c>
      <c r="B22" s="10" t="s">
        <v>15</v>
      </c>
      <c r="C22" s="10" t="s">
        <v>62</v>
      </c>
      <c r="D22" s="10" t="s">
        <v>17</v>
      </c>
      <c r="E22" s="10">
        <v>1</v>
      </c>
      <c r="F22" s="10">
        <v>1</v>
      </c>
      <c r="G22" s="10">
        <v>3</v>
      </c>
      <c r="H22" s="10">
        <v>1</v>
      </c>
      <c r="I22" s="10">
        <v>1</v>
      </c>
      <c r="J22" s="10">
        <f t="shared" si="0"/>
        <v>1.4</v>
      </c>
      <c r="K22" s="10">
        <f t="shared" si="1"/>
        <v>1</v>
      </c>
      <c r="L22" s="11" t="str">
        <f t="shared" si="2"/>
        <v>B</v>
      </c>
      <c r="M22" s="10" t="str">
        <f t="shared" si="3"/>
        <v>Desaprobado</v>
      </c>
      <c r="N22" s="14">
        <v>0.7</v>
      </c>
    </row>
    <row r="23" spans="1:14" x14ac:dyDescent="0.25">
      <c r="A23" s="12" t="s">
        <v>63</v>
      </c>
      <c r="B23" s="12" t="s">
        <v>15</v>
      </c>
      <c r="C23" s="12" t="s">
        <v>64</v>
      </c>
      <c r="D23" s="12" t="s">
        <v>17</v>
      </c>
      <c r="E23" s="12">
        <v>1</v>
      </c>
      <c r="F23" s="12">
        <v>0</v>
      </c>
      <c r="G23" s="12">
        <v>0</v>
      </c>
      <c r="H23" s="12">
        <v>3</v>
      </c>
      <c r="I23" s="12">
        <v>3</v>
      </c>
      <c r="J23" s="12">
        <f t="shared" si="0"/>
        <v>1.4</v>
      </c>
      <c r="K23" s="12">
        <f t="shared" si="1"/>
        <v>1</v>
      </c>
      <c r="L23" s="13" t="str">
        <f t="shared" si="2"/>
        <v>B</v>
      </c>
      <c r="M23" s="12" t="str">
        <f t="shared" si="3"/>
        <v>Desaprobado</v>
      </c>
      <c r="N23" s="15">
        <v>0.95</v>
      </c>
    </row>
    <row r="24" spans="1:14" x14ac:dyDescent="0.25">
      <c r="A24" s="10" t="s">
        <v>65</v>
      </c>
      <c r="B24" s="10" t="s">
        <v>15</v>
      </c>
      <c r="C24" s="10" t="s">
        <v>66</v>
      </c>
      <c r="D24" s="10" t="s">
        <v>17</v>
      </c>
      <c r="E24" s="10">
        <v>0</v>
      </c>
      <c r="F24" s="10">
        <v>3</v>
      </c>
      <c r="G24" s="10">
        <v>1</v>
      </c>
      <c r="H24" s="10">
        <v>0</v>
      </c>
      <c r="I24" s="10">
        <v>3</v>
      </c>
      <c r="J24" s="10">
        <f t="shared" si="0"/>
        <v>1.4</v>
      </c>
      <c r="K24" s="10">
        <f t="shared" si="1"/>
        <v>1</v>
      </c>
      <c r="L24" s="11" t="str">
        <f t="shared" si="2"/>
        <v>B</v>
      </c>
      <c r="M24" s="10" t="str">
        <f t="shared" si="3"/>
        <v>Desaprobado</v>
      </c>
      <c r="N24" s="14">
        <v>0.6</v>
      </c>
    </row>
    <row r="25" spans="1:14" x14ac:dyDescent="0.25">
      <c r="A25" s="12" t="s">
        <v>67</v>
      </c>
      <c r="B25" s="12" t="s">
        <v>15</v>
      </c>
      <c r="C25" s="12" t="s">
        <v>68</v>
      </c>
      <c r="D25" s="12" t="s">
        <v>17</v>
      </c>
      <c r="E25" s="12">
        <v>1</v>
      </c>
      <c r="F25" s="12">
        <v>3</v>
      </c>
      <c r="G25" s="12">
        <v>0</v>
      </c>
      <c r="H25" s="12">
        <v>1</v>
      </c>
      <c r="I25" s="12">
        <v>0</v>
      </c>
      <c r="J25" s="12">
        <f t="shared" si="0"/>
        <v>1</v>
      </c>
      <c r="K25" s="12">
        <f t="shared" si="1"/>
        <v>1</v>
      </c>
      <c r="L25" s="13" t="str">
        <f t="shared" si="2"/>
        <v>B</v>
      </c>
      <c r="M25" s="12" t="str">
        <f t="shared" si="3"/>
        <v>Desaprobado</v>
      </c>
      <c r="N25" s="15">
        <v>0.1</v>
      </c>
    </row>
    <row r="26" spans="1:14" x14ac:dyDescent="0.25">
      <c r="A26" s="10" t="s">
        <v>69</v>
      </c>
      <c r="B26" s="10" t="s">
        <v>15</v>
      </c>
      <c r="C26" s="10" t="s">
        <v>70</v>
      </c>
      <c r="D26" s="10" t="s">
        <v>17</v>
      </c>
      <c r="E26" s="10">
        <v>2</v>
      </c>
      <c r="F26" s="10">
        <v>1</v>
      </c>
      <c r="G26" s="10">
        <v>3</v>
      </c>
      <c r="H26" s="10">
        <v>0</v>
      </c>
      <c r="I26" s="10">
        <v>2</v>
      </c>
      <c r="J26" s="10">
        <f t="shared" si="0"/>
        <v>1.6</v>
      </c>
      <c r="K26" s="10">
        <f t="shared" si="1"/>
        <v>2</v>
      </c>
      <c r="L26" s="11" t="str">
        <f t="shared" si="2"/>
        <v>A</v>
      </c>
      <c r="M26" s="10" t="str">
        <f t="shared" si="3"/>
        <v>Aprobado</v>
      </c>
      <c r="N26" s="14">
        <v>0.9</v>
      </c>
    </row>
    <row r="27" spans="1:14" x14ac:dyDescent="0.25">
      <c r="A27" s="12" t="s">
        <v>71</v>
      </c>
      <c r="B27" s="12" t="s">
        <v>15</v>
      </c>
      <c r="C27" s="12" t="s">
        <v>72</v>
      </c>
      <c r="D27" s="12" t="s">
        <v>17</v>
      </c>
      <c r="E27" s="12">
        <v>1</v>
      </c>
      <c r="F27" s="12">
        <v>0</v>
      </c>
      <c r="G27" s="12">
        <v>3</v>
      </c>
      <c r="H27" s="12">
        <v>0</v>
      </c>
      <c r="I27" s="12">
        <v>3</v>
      </c>
      <c r="J27" s="12">
        <f t="shared" si="0"/>
        <v>1.4</v>
      </c>
      <c r="K27" s="12">
        <f t="shared" si="1"/>
        <v>1</v>
      </c>
      <c r="L27" s="13" t="str">
        <f t="shared" si="2"/>
        <v>B</v>
      </c>
      <c r="M27" s="12" t="str">
        <f t="shared" si="3"/>
        <v>Desaprobado</v>
      </c>
      <c r="N27" s="15">
        <v>0.95</v>
      </c>
    </row>
    <row r="28" spans="1:14" x14ac:dyDescent="0.25">
      <c r="A28" s="10" t="s">
        <v>73</v>
      </c>
      <c r="B28" s="10" t="s">
        <v>15</v>
      </c>
      <c r="C28" s="10" t="s">
        <v>74</v>
      </c>
      <c r="D28" s="10" t="s">
        <v>17</v>
      </c>
      <c r="E28" s="10">
        <v>3</v>
      </c>
      <c r="F28" s="10">
        <v>2</v>
      </c>
      <c r="G28" s="10">
        <v>0</v>
      </c>
      <c r="H28" s="10">
        <v>3</v>
      </c>
      <c r="I28" s="10">
        <v>3</v>
      </c>
      <c r="J28" s="10">
        <f t="shared" si="0"/>
        <v>2.2000000000000002</v>
      </c>
      <c r="K28" s="10">
        <f t="shared" si="1"/>
        <v>2</v>
      </c>
      <c r="L28" s="11" t="str">
        <f t="shared" si="2"/>
        <v>A</v>
      </c>
      <c r="M28" s="10" t="str">
        <f t="shared" si="3"/>
        <v>Aprobado</v>
      </c>
      <c r="N28" s="14">
        <v>0.45</v>
      </c>
    </row>
    <row r="29" spans="1:14" x14ac:dyDescent="0.25">
      <c r="A29" s="12" t="s">
        <v>75</v>
      </c>
      <c r="B29" s="12" t="s">
        <v>15</v>
      </c>
      <c r="C29" s="12" t="s">
        <v>76</v>
      </c>
      <c r="D29" s="12" t="s">
        <v>17</v>
      </c>
      <c r="E29" s="12">
        <v>1</v>
      </c>
      <c r="F29" s="12">
        <v>2</v>
      </c>
      <c r="G29" s="12">
        <v>3</v>
      </c>
      <c r="H29" s="12">
        <v>2</v>
      </c>
      <c r="I29" s="12">
        <v>0</v>
      </c>
      <c r="J29" s="12">
        <f t="shared" si="0"/>
        <v>1.6</v>
      </c>
      <c r="K29" s="12">
        <f t="shared" si="1"/>
        <v>2</v>
      </c>
      <c r="L29" s="13" t="str">
        <f t="shared" si="2"/>
        <v>A</v>
      </c>
      <c r="M29" s="12" t="str">
        <f t="shared" si="3"/>
        <v>Aprobado</v>
      </c>
      <c r="N29" s="15">
        <v>0.2</v>
      </c>
    </row>
    <row r="30" spans="1:14" x14ac:dyDescent="0.25">
      <c r="A30" s="10" t="s">
        <v>77</v>
      </c>
      <c r="B30" s="10" t="s">
        <v>15</v>
      </c>
      <c r="C30" s="10" t="s">
        <v>78</v>
      </c>
      <c r="D30" s="10" t="s">
        <v>17</v>
      </c>
      <c r="E30" s="10">
        <v>0</v>
      </c>
      <c r="F30" s="10">
        <v>0</v>
      </c>
      <c r="G30" s="10">
        <v>2</v>
      </c>
      <c r="H30" s="10">
        <v>3</v>
      </c>
      <c r="I30" s="10">
        <v>0</v>
      </c>
      <c r="J30" s="10">
        <f t="shared" si="0"/>
        <v>1</v>
      </c>
      <c r="K30" s="10">
        <f t="shared" si="1"/>
        <v>1</v>
      </c>
      <c r="L30" s="11" t="str">
        <f t="shared" si="2"/>
        <v>B</v>
      </c>
      <c r="M30" s="10" t="str">
        <f t="shared" si="3"/>
        <v>Desaprobado</v>
      </c>
      <c r="N30" s="14">
        <v>0.95</v>
      </c>
    </row>
    <row r="31" spans="1:14" x14ac:dyDescent="0.25">
      <c r="A31" s="12" t="s">
        <v>14</v>
      </c>
      <c r="B31" s="12" t="s">
        <v>15</v>
      </c>
      <c r="C31" s="12" t="s">
        <v>16</v>
      </c>
      <c r="D31" s="12" t="s">
        <v>79</v>
      </c>
      <c r="E31" s="12">
        <v>0</v>
      </c>
      <c r="F31" s="12">
        <v>1</v>
      </c>
      <c r="G31" s="12">
        <v>3</v>
      </c>
      <c r="H31" s="12">
        <v>0</v>
      </c>
      <c r="I31" s="12">
        <v>3</v>
      </c>
      <c r="J31" s="12">
        <f t="shared" si="0"/>
        <v>1.4</v>
      </c>
      <c r="K31" s="12">
        <f t="shared" si="1"/>
        <v>1</v>
      </c>
      <c r="L31" s="13" t="str">
        <f t="shared" si="2"/>
        <v>B</v>
      </c>
      <c r="M31" s="12" t="str">
        <f t="shared" si="3"/>
        <v>Desaprobado</v>
      </c>
      <c r="N31" s="15">
        <v>0.8</v>
      </c>
    </row>
    <row r="32" spans="1:14" x14ac:dyDescent="0.25">
      <c r="A32" s="10" t="s">
        <v>19</v>
      </c>
      <c r="B32" s="10" t="s">
        <v>15</v>
      </c>
      <c r="C32" s="10" t="s">
        <v>20</v>
      </c>
      <c r="D32" s="10" t="s">
        <v>79</v>
      </c>
      <c r="E32" s="10">
        <v>1</v>
      </c>
      <c r="F32" s="10">
        <v>3</v>
      </c>
      <c r="G32" s="10">
        <v>1</v>
      </c>
      <c r="H32" s="10">
        <v>3</v>
      </c>
      <c r="I32" s="10">
        <v>2</v>
      </c>
      <c r="J32" s="10">
        <f t="shared" si="0"/>
        <v>2</v>
      </c>
      <c r="K32" s="10">
        <f t="shared" si="1"/>
        <v>2</v>
      </c>
      <c r="L32" s="11" t="str">
        <f t="shared" si="2"/>
        <v>A</v>
      </c>
      <c r="M32" s="10" t="str">
        <f t="shared" si="3"/>
        <v>Aprobado</v>
      </c>
      <c r="N32" s="14">
        <v>0.25</v>
      </c>
    </row>
    <row r="33" spans="1:14" x14ac:dyDescent="0.25">
      <c r="A33" s="12" t="s">
        <v>22</v>
      </c>
      <c r="B33" s="12" t="s">
        <v>15</v>
      </c>
      <c r="C33" s="12" t="s">
        <v>23</v>
      </c>
      <c r="D33" s="12" t="s">
        <v>79</v>
      </c>
      <c r="E33" s="12">
        <v>2</v>
      </c>
      <c r="F33" s="12">
        <v>3</v>
      </c>
      <c r="G33" s="12">
        <v>3</v>
      </c>
      <c r="H33" s="12">
        <v>0</v>
      </c>
      <c r="I33" s="12">
        <v>2</v>
      </c>
      <c r="J33" s="12">
        <f t="shared" si="0"/>
        <v>2</v>
      </c>
      <c r="K33" s="12">
        <f t="shared" si="1"/>
        <v>2</v>
      </c>
      <c r="L33" s="13" t="str">
        <f t="shared" si="2"/>
        <v>A</v>
      </c>
      <c r="M33" s="12" t="str">
        <f t="shared" si="3"/>
        <v>Aprobado</v>
      </c>
      <c r="N33" s="15">
        <v>0.4</v>
      </c>
    </row>
    <row r="34" spans="1:14" x14ac:dyDescent="0.25">
      <c r="A34" s="10" t="s">
        <v>25</v>
      </c>
      <c r="B34" s="10" t="s">
        <v>15</v>
      </c>
      <c r="C34" s="10" t="s">
        <v>26</v>
      </c>
      <c r="D34" s="10" t="s">
        <v>79</v>
      </c>
      <c r="E34" s="10">
        <v>0</v>
      </c>
      <c r="F34" s="10">
        <v>2</v>
      </c>
      <c r="G34" s="10">
        <v>1</v>
      </c>
      <c r="H34" s="10">
        <v>0</v>
      </c>
      <c r="I34" s="10">
        <v>0</v>
      </c>
      <c r="J34" s="10">
        <f t="shared" si="0"/>
        <v>0.6</v>
      </c>
      <c r="K34" s="10">
        <f t="shared" si="1"/>
        <v>1</v>
      </c>
      <c r="L34" s="11" t="str">
        <f t="shared" si="2"/>
        <v>B</v>
      </c>
      <c r="M34" s="10" t="str">
        <f t="shared" si="3"/>
        <v>Desaprobado</v>
      </c>
      <c r="N34" s="14">
        <v>0.4</v>
      </c>
    </row>
    <row r="35" spans="1:14" x14ac:dyDescent="0.25">
      <c r="A35" s="12" t="s">
        <v>28</v>
      </c>
      <c r="B35" s="12" t="s">
        <v>15</v>
      </c>
      <c r="C35" s="12" t="s">
        <v>29</v>
      </c>
      <c r="D35" s="12" t="s">
        <v>79</v>
      </c>
      <c r="E35" s="12">
        <v>3</v>
      </c>
      <c r="F35" s="12">
        <v>0</v>
      </c>
      <c r="G35" s="12">
        <v>2</v>
      </c>
      <c r="H35" s="12">
        <v>2</v>
      </c>
      <c r="I35" s="12">
        <v>3</v>
      </c>
      <c r="J35" s="12">
        <f t="shared" si="0"/>
        <v>2</v>
      </c>
      <c r="K35" s="12">
        <f t="shared" si="1"/>
        <v>2</v>
      </c>
      <c r="L35" s="13" t="str">
        <f t="shared" si="2"/>
        <v>A</v>
      </c>
      <c r="M35" s="12" t="str">
        <f t="shared" si="3"/>
        <v>Aprobado</v>
      </c>
      <c r="N35" s="15">
        <v>0.5</v>
      </c>
    </row>
    <row r="36" spans="1:14" x14ac:dyDescent="0.25">
      <c r="A36" s="10" t="s">
        <v>31</v>
      </c>
      <c r="B36" s="10" t="s">
        <v>15</v>
      </c>
      <c r="C36" s="10" t="s">
        <v>32</v>
      </c>
      <c r="D36" s="10" t="s">
        <v>79</v>
      </c>
      <c r="E36" s="10">
        <v>3</v>
      </c>
      <c r="F36" s="10">
        <v>0</v>
      </c>
      <c r="G36" s="10">
        <v>3</v>
      </c>
      <c r="H36" s="10">
        <v>2</v>
      </c>
      <c r="I36" s="10">
        <v>2</v>
      </c>
      <c r="J36" s="10">
        <f t="shared" si="0"/>
        <v>2</v>
      </c>
      <c r="K36" s="10">
        <f t="shared" si="1"/>
        <v>2</v>
      </c>
      <c r="L36" s="11" t="str">
        <f t="shared" si="2"/>
        <v>A</v>
      </c>
      <c r="M36" s="10" t="str">
        <f t="shared" si="3"/>
        <v>Aprobado</v>
      </c>
      <c r="N36" s="14">
        <v>0.7</v>
      </c>
    </row>
    <row r="37" spans="1:14" x14ac:dyDescent="0.25">
      <c r="A37" s="12" t="s">
        <v>33</v>
      </c>
      <c r="B37" s="12" t="s">
        <v>15</v>
      </c>
      <c r="C37" s="12" t="s">
        <v>34</v>
      </c>
      <c r="D37" s="12" t="s">
        <v>79</v>
      </c>
      <c r="E37" s="12">
        <v>0</v>
      </c>
      <c r="F37" s="12">
        <v>1</v>
      </c>
      <c r="G37" s="12">
        <v>1</v>
      </c>
      <c r="H37" s="12">
        <v>1</v>
      </c>
      <c r="I37" s="12">
        <v>3</v>
      </c>
      <c r="J37" s="12">
        <f t="shared" si="0"/>
        <v>1.2</v>
      </c>
      <c r="K37" s="12">
        <f t="shared" si="1"/>
        <v>1</v>
      </c>
      <c r="L37" s="13" t="str">
        <f t="shared" si="2"/>
        <v>B</v>
      </c>
      <c r="M37" s="12" t="str">
        <f t="shared" si="3"/>
        <v>Desaprobado</v>
      </c>
      <c r="N37" s="15">
        <v>0.7</v>
      </c>
    </row>
    <row r="38" spans="1:14" x14ac:dyDescent="0.25">
      <c r="A38" s="10" t="s">
        <v>35</v>
      </c>
      <c r="B38" s="10" t="s">
        <v>15</v>
      </c>
      <c r="C38" s="10" t="s">
        <v>36</v>
      </c>
      <c r="D38" s="10" t="s">
        <v>79</v>
      </c>
      <c r="E38" s="10">
        <v>2</v>
      </c>
      <c r="F38" s="10">
        <v>2</v>
      </c>
      <c r="G38" s="10">
        <v>0</v>
      </c>
      <c r="H38" s="10">
        <v>0</v>
      </c>
      <c r="I38" s="10">
        <v>3</v>
      </c>
      <c r="J38" s="10">
        <f t="shared" si="0"/>
        <v>1.4</v>
      </c>
      <c r="K38" s="10">
        <f t="shared" si="1"/>
        <v>1</v>
      </c>
      <c r="L38" s="11" t="str">
        <f t="shared" si="2"/>
        <v>B</v>
      </c>
      <c r="M38" s="10" t="str">
        <f t="shared" si="3"/>
        <v>Desaprobado</v>
      </c>
      <c r="N38" s="14">
        <v>0.25</v>
      </c>
    </row>
    <row r="39" spans="1:14" x14ac:dyDescent="0.25">
      <c r="A39" s="12" t="s">
        <v>37</v>
      </c>
      <c r="B39" s="12" t="s">
        <v>15</v>
      </c>
      <c r="C39" s="12" t="s">
        <v>38</v>
      </c>
      <c r="D39" s="12" t="s">
        <v>79</v>
      </c>
      <c r="E39" s="12">
        <v>0</v>
      </c>
      <c r="F39" s="12">
        <v>3</v>
      </c>
      <c r="G39" s="12">
        <v>0</v>
      </c>
      <c r="H39" s="12">
        <v>0</v>
      </c>
      <c r="I39" s="12">
        <v>2</v>
      </c>
      <c r="J39" s="12">
        <f t="shared" si="0"/>
        <v>1</v>
      </c>
      <c r="K39" s="12">
        <f t="shared" si="1"/>
        <v>1</v>
      </c>
      <c r="L39" s="13" t="str">
        <f t="shared" si="2"/>
        <v>B</v>
      </c>
      <c r="M39" s="12" t="str">
        <f t="shared" si="3"/>
        <v>Desaprobado</v>
      </c>
      <c r="N39" s="15">
        <v>0.2</v>
      </c>
    </row>
    <row r="40" spans="1:14" x14ac:dyDescent="0.25">
      <c r="A40" s="10" t="s">
        <v>39</v>
      </c>
      <c r="B40" s="10" t="s">
        <v>15</v>
      </c>
      <c r="C40" s="10" t="s">
        <v>40</v>
      </c>
      <c r="D40" s="10" t="s">
        <v>79</v>
      </c>
      <c r="E40" s="10">
        <v>2</v>
      </c>
      <c r="F40" s="10">
        <v>2</v>
      </c>
      <c r="G40" s="10">
        <v>0</v>
      </c>
      <c r="H40" s="10">
        <v>2</v>
      </c>
      <c r="I40" s="10">
        <v>2</v>
      </c>
      <c r="J40" s="10">
        <f t="shared" si="0"/>
        <v>1.6</v>
      </c>
      <c r="K40" s="10">
        <f t="shared" si="1"/>
        <v>2</v>
      </c>
      <c r="L40" s="11" t="str">
        <f t="shared" si="2"/>
        <v>A</v>
      </c>
      <c r="M40" s="10" t="str">
        <f t="shared" si="3"/>
        <v>Aprobado</v>
      </c>
      <c r="N40" s="14">
        <v>0.65</v>
      </c>
    </row>
    <row r="41" spans="1:14" x14ac:dyDescent="0.25">
      <c r="A41" s="12" t="s">
        <v>41</v>
      </c>
      <c r="B41" s="12" t="s">
        <v>15</v>
      </c>
      <c r="C41" s="12" t="s">
        <v>42</v>
      </c>
      <c r="D41" s="12" t="s">
        <v>79</v>
      </c>
      <c r="E41" s="12">
        <v>1</v>
      </c>
      <c r="F41" s="12">
        <v>0</v>
      </c>
      <c r="G41" s="12">
        <v>0</v>
      </c>
      <c r="H41" s="12">
        <v>1</v>
      </c>
      <c r="I41" s="12">
        <v>2</v>
      </c>
      <c r="J41" s="12">
        <f t="shared" si="0"/>
        <v>0.8</v>
      </c>
      <c r="K41" s="12">
        <f t="shared" si="1"/>
        <v>1</v>
      </c>
      <c r="L41" s="13" t="str">
        <f t="shared" si="2"/>
        <v>B</v>
      </c>
      <c r="M41" s="12" t="str">
        <f t="shared" si="3"/>
        <v>Desaprobado</v>
      </c>
      <c r="N41" s="15">
        <v>0.7</v>
      </c>
    </row>
    <row r="42" spans="1:14" x14ac:dyDescent="0.25">
      <c r="A42" s="10" t="s">
        <v>43</v>
      </c>
      <c r="B42" s="10" t="s">
        <v>15</v>
      </c>
      <c r="C42" s="10" t="s">
        <v>44</v>
      </c>
      <c r="D42" s="10" t="s">
        <v>79</v>
      </c>
      <c r="E42" s="10">
        <v>3</v>
      </c>
      <c r="F42" s="10">
        <v>2</v>
      </c>
      <c r="G42" s="10">
        <v>0</v>
      </c>
      <c r="H42" s="10">
        <v>1</v>
      </c>
      <c r="I42" s="10">
        <v>2</v>
      </c>
      <c r="J42" s="10">
        <f t="shared" si="0"/>
        <v>1.6</v>
      </c>
      <c r="K42" s="10">
        <f t="shared" si="1"/>
        <v>2</v>
      </c>
      <c r="L42" s="11" t="str">
        <f t="shared" si="2"/>
        <v>A</v>
      </c>
      <c r="M42" s="10" t="str">
        <f t="shared" si="3"/>
        <v>Aprobado</v>
      </c>
      <c r="N42" s="14">
        <v>0.9</v>
      </c>
    </row>
    <row r="43" spans="1:14" x14ac:dyDescent="0.25">
      <c r="A43" s="12" t="s">
        <v>45</v>
      </c>
      <c r="B43" s="12" t="s">
        <v>15</v>
      </c>
      <c r="C43" s="12" t="s">
        <v>46</v>
      </c>
      <c r="D43" s="12" t="s">
        <v>79</v>
      </c>
      <c r="E43" s="12">
        <v>2</v>
      </c>
      <c r="F43" s="12">
        <v>0</v>
      </c>
      <c r="G43" s="12">
        <v>0</v>
      </c>
      <c r="H43" s="12">
        <v>1</v>
      </c>
      <c r="I43" s="12">
        <v>0</v>
      </c>
      <c r="J43" s="12">
        <f t="shared" si="0"/>
        <v>0.6</v>
      </c>
      <c r="K43" s="12">
        <f t="shared" si="1"/>
        <v>1</v>
      </c>
      <c r="L43" s="13" t="str">
        <f t="shared" si="2"/>
        <v>B</v>
      </c>
      <c r="M43" s="12" t="str">
        <f t="shared" si="3"/>
        <v>Desaprobado</v>
      </c>
      <c r="N43" s="15">
        <v>0.7</v>
      </c>
    </row>
    <row r="44" spans="1:14" x14ac:dyDescent="0.25">
      <c r="A44" s="10" t="s">
        <v>47</v>
      </c>
      <c r="B44" s="10" t="s">
        <v>15</v>
      </c>
      <c r="C44" s="10" t="s">
        <v>48</v>
      </c>
      <c r="D44" s="10" t="s">
        <v>79</v>
      </c>
      <c r="E44" s="10">
        <v>2</v>
      </c>
      <c r="F44" s="10">
        <v>3</v>
      </c>
      <c r="G44" s="10">
        <v>3</v>
      </c>
      <c r="H44" s="10">
        <v>2</v>
      </c>
      <c r="I44" s="10">
        <v>0</v>
      </c>
      <c r="J44" s="10">
        <f t="shared" si="0"/>
        <v>2</v>
      </c>
      <c r="K44" s="10">
        <f t="shared" si="1"/>
        <v>2</v>
      </c>
      <c r="L44" s="11" t="str">
        <f t="shared" si="2"/>
        <v>A</v>
      </c>
      <c r="M44" s="10" t="str">
        <f t="shared" si="3"/>
        <v>Aprobado</v>
      </c>
      <c r="N44" s="14">
        <v>0.95</v>
      </c>
    </row>
    <row r="45" spans="1:14" x14ac:dyDescent="0.25">
      <c r="A45" s="12" t="s">
        <v>49</v>
      </c>
      <c r="B45" s="12" t="s">
        <v>15</v>
      </c>
      <c r="C45" s="12" t="s">
        <v>50</v>
      </c>
      <c r="D45" s="12" t="s">
        <v>79</v>
      </c>
      <c r="E45" s="12">
        <v>1</v>
      </c>
      <c r="F45" s="12">
        <v>2</v>
      </c>
      <c r="G45" s="12">
        <v>3</v>
      </c>
      <c r="H45" s="12">
        <v>2</v>
      </c>
      <c r="I45" s="12">
        <v>3</v>
      </c>
      <c r="J45" s="12">
        <f t="shared" si="0"/>
        <v>2.2000000000000002</v>
      </c>
      <c r="K45" s="12">
        <f t="shared" si="1"/>
        <v>2</v>
      </c>
      <c r="L45" s="13" t="str">
        <f t="shared" si="2"/>
        <v>A</v>
      </c>
      <c r="M45" s="12" t="str">
        <f t="shared" si="3"/>
        <v>Aprobado</v>
      </c>
      <c r="N45" s="15">
        <v>0.6</v>
      </c>
    </row>
    <row r="46" spans="1:14" x14ac:dyDescent="0.25">
      <c r="A46" s="10" t="s">
        <v>51</v>
      </c>
      <c r="B46" s="10" t="s">
        <v>15</v>
      </c>
      <c r="C46" s="10" t="s">
        <v>52</v>
      </c>
      <c r="D46" s="10" t="s">
        <v>79</v>
      </c>
      <c r="E46" s="10">
        <v>2</v>
      </c>
      <c r="F46" s="10">
        <v>0</v>
      </c>
      <c r="G46" s="10">
        <v>1</v>
      </c>
      <c r="H46" s="10">
        <v>1</v>
      </c>
      <c r="I46" s="10">
        <v>0</v>
      </c>
      <c r="J46" s="10">
        <f t="shared" si="0"/>
        <v>0.8</v>
      </c>
      <c r="K46" s="10">
        <f t="shared" si="1"/>
        <v>1</v>
      </c>
      <c r="L46" s="11" t="str">
        <f t="shared" si="2"/>
        <v>B</v>
      </c>
      <c r="M46" s="10" t="str">
        <f t="shared" si="3"/>
        <v>Desaprobado</v>
      </c>
      <c r="N46" s="14">
        <v>0.1</v>
      </c>
    </row>
    <row r="47" spans="1:14" x14ac:dyDescent="0.25">
      <c r="A47" s="12" t="s">
        <v>53</v>
      </c>
      <c r="B47" s="12" t="s">
        <v>15</v>
      </c>
      <c r="C47" s="12" t="s">
        <v>54</v>
      </c>
      <c r="D47" s="12" t="s">
        <v>79</v>
      </c>
      <c r="E47" s="12">
        <v>1</v>
      </c>
      <c r="F47" s="12">
        <v>3</v>
      </c>
      <c r="G47" s="12">
        <v>2</v>
      </c>
      <c r="H47" s="12">
        <v>2</v>
      </c>
      <c r="I47" s="12">
        <v>3</v>
      </c>
      <c r="J47" s="12">
        <f t="shared" si="0"/>
        <v>2.2000000000000002</v>
      </c>
      <c r="K47" s="12">
        <f t="shared" si="1"/>
        <v>2</v>
      </c>
      <c r="L47" s="13" t="str">
        <f t="shared" si="2"/>
        <v>A</v>
      </c>
      <c r="M47" s="12" t="str">
        <f t="shared" si="3"/>
        <v>Aprobado</v>
      </c>
      <c r="N47" s="15">
        <v>0.9</v>
      </c>
    </row>
    <row r="48" spans="1:14" x14ac:dyDescent="0.25">
      <c r="A48" s="10" t="s">
        <v>55</v>
      </c>
      <c r="B48" s="10" t="s">
        <v>15</v>
      </c>
      <c r="C48" s="10" t="s">
        <v>56</v>
      </c>
      <c r="D48" s="10" t="s">
        <v>79</v>
      </c>
      <c r="E48" s="10">
        <v>3</v>
      </c>
      <c r="F48" s="10">
        <v>3</v>
      </c>
      <c r="G48" s="10">
        <v>3</v>
      </c>
      <c r="H48" s="10">
        <v>0</v>
      </c>
      <c r="I48" s="10">
        <v>2</v>
      </c>
      <c r="J48" s="10">
        <f t="shared" si="0"/>
        <v>2.2000000000000002</v>
      </c>
      <c r="K48" s="10">
        <f t="shared" si="1"/>
        <v>2</v>
      </c>
      <c r="L48" s="11" t="str">
        <f t="shared" si="2"/>
        <v>A</v>
      </c>
      <c r="M48" s="10" t="str">
        <f t="shared" si="3"/>
        <v>Aprobado</v>
      </c>
      <c r="N48" s="14">
        <v>0.95</v>
      </c>
    </row>
    <row r="49" spans="1:14" x14ac:dyDescent="0.25">
      <c r="A49" s="12" t="s">
        <v>57</v>
      </c>
      <c r="B49" s="12" t="s">
        <v>15</v>
      </c>
      <c r="C49" s="12" t="s">
        <v>58</v>
      </c>
      <c r="D49" s="12" t="s">
        <v>79</v>
      </c>
      <c r="E49" s="12">
        <v>1</v>
      </c>
      <c r="F49" s="12">
        <v>0</v>
      </c>
      <c r="G49" s="12">
        <v>0</v>
      </c>
      <c r="H49" s="12">
        <v>2</v>
      </c>
      <c r="I49" s="12">
        <v>3</v>
      </c>
      <c r="J49" s="12">
        <f t="shared" si="0"/>
        <v>1.2</v>
      </c>
      <c r="K49" s="12">
        <f t="shared" si="1"/>
        <v>1</v>
      </c>
      <c r="L49" s="13" t="str">
        <f t="shared" si="2"/>
        <v>B</v>
      </c>
      <c r="M49" s="12" t="str">
        <f t="shared" si="3"/>
        <v>Desaprobado</v>
      </c>
      <c r="N49" s="15">
        <v>0.75</v>
      </c>
    </row>
    <row r="50" spans="1:14" x14ac:dyDescent="0.25">
      <c r="A50" s="10" t="s">
        <v>59</v>
      </c>
      <c r="B50" s="10" t="s">
        <v>15</v>
      </c>
      <c r="C50" s="10" t="s">
        <v>60</v>
      </c>
      <c r="D50" s="10" t="s">
        <v>79</v>
      </c>
      <c r="E50" s="10">
        <v>3</v>
      </c>
      <c r="F50" s="10">
        <v>3</v>
      </c>
      <c r="G50" s="10">
        <v>1</v>
      </c>
      <c r="H50" s="10">
        <v>3</v>
      </c>
      <c r="I50" s="10">
        <v>3</v>
      </c>
      <c r="J50" s="10">
        <f t="shared" si="0"/>
        <v>2.6</v>
      </c>
      <c r="K50" s="10">
        <f t="shared" si="1"/>
        <v>3</v>
      </c>
      <c r="L50" s="11" t="str">
        <f t="shared" si="2"/>
        <v>AD</v>
      </c>
      <c r="M50" s="10" t="str">
        <f t="shared" si="3"/>
        <v>Aprobado</v>
      </c>
      <c r="N50" s="14">
        <v>0.2</v>
      </c>
    </row>
    <row r="51" spans="1:14" x14ac:dyDescent="0.25">
      <c r="A51" s="12" t="s">
        <v>61</v>
      </c>
      <c r="B51" s="12" t="s">
        <v>15</v>
      </c>
      <c r="C51" s="12" t="s">
        <v>62</v>
      </c>
      <c r="D51" s="12" t="s">
        <v>79</v>
      </c>
      <c r="E51" s="12">
        <v>0</v>
      </c>
      <c r="F51" s="12">
        <v>1</v>
      </c>
      <c r="G51" s="12">
        <v>3</v>
      </c>
      <c r="H51" s="12">
        <v>1</v>
      </c>
      <c r="I51" s="12">
        <v>0</v>
      </c>
      <c r="J51" s="12">
        <f t="shared" si="0"/>
        <v>1</v>
      </c>
      <c r="K51" s="12">
        <f t="shared" si="1"/>
        <v>1</v>
      </c>
      <c r="L51" s="13" t="str">
        <f t="shared" si="2"/>
        <v>B</v>
      </c>
      <c r="M51" s="12" t="str">
        <f t="shared" si="3"/>
        <v>Desaprobado</v>
      </c>
      <c r="N51" s="15">
        <v>0.95</v>
      </c>
    </row>
    <row r="52" spans="1:14" x14ac:dyDescent="0.25">
      <c r="A52" s="10" t="s">
        <v>63</v>
      </c>
      <c r="B52" s="10" t="s">
        <v>15</v>
      </c>
      <c r="C52" s="10" t="s">
        <v>64</v>
      </c>
      <c r="D52" s="10" t="s">
        <v>79</v>
      </c>
      <c r="E52" s="10">
        <v>2</v>
      </c>
      <c r="F52" s="10">
        <v>1</v>
      </c>
      <c r="G52" s="10">
        <v>1</v>
      </c>
      <c r="H52" s="10">
        <v>2</v>
      </c>
      <c r="I52" s="10">
        <v>0</v>
      </c>
      <c r="J52" s="10">
        <f t="shared" si="0"/>
        <v>1.2</v>
      </c>
      <c r="K52" s="10">
        <f t="shared" si="1"/>
        <v>1</v>
      </c>
      <c r="L52" s="11" t="str">
        <f t="shared" si="2"/>
        <v>B</v>
      </c>
      <c r="M52" s="10" t="str">
        <f t="shared" si="3"/>
        <v>Desaprobado</v>
      </c>
      <c r="N52" s="14">
        <v>0.8</v>
      </c>
    </row>
    <row r="53" spans="1:14" x14ac:dyDescent="0.25">
      <c r="A53" s="12" t="s">
        <v>65</v>
      </c>
      <c r="B53" s="12" t="s">
        <v>15</v>
      </c>
      <c r="C53" s="12" t="s">
        <v>66</v>
      </c>
      <c r="D53" s="12" t="s">
        <v>79</v>
      </c>
      <c r="E53" s="12">
        <v>2</v>
      </c>
      <c r="F53" s="12">
        <v>1</v>
      </c>
      <c r="G53" s="12">
        <v>2</v>
      </c>
      <c r="H53" s="12">
        <v>0</v>
      </c>
      <c r="I53" s="12">
        <v>2</v>
      </c>
      <c r="J53" s="12">
        <f t="shared" si="0"/>
        <v>1.4</v>
      </c>
      <c r="K53" s="12">
        <f t="shared" si="1"/>
        <v>1</v>
      </c>
      <c r="L53" s="13" t="str">
        <f t="shared" si="2"/>
        <v>B</v>
      </c>
      <c r="M53" s="12" t="str">
        <f t="shared" si="3"/>
        <v>Desaprobado</v>
      </c>
      <c r="N53" s="15">
        <v>0.25</v>
      </c>
    </row>
    <row r="54" spans="1:14" x14ac:dyDescent="0.25">
      <c r="A54" s="10" t="s">
        <v>67</v>
      </c>
      <c r="B54" s="10" t="s">
        <v>15</v>
      </c>
      <c r="C54" s="10" t="s">
        <v>68</v>
      </c>
      <c r="D54" s="10" t="s">
        <v>79</v>
      </c>
      <c r="E54" s="10">
        <v>1</v>
      </c>
      <c r="F54" s="10">
        <v>1</v>
      </c>
      <c r="G54" s="10">
        <v>2</v>
      </c>
      <c r="H54" s="10">
        <v>0</v>
      </c>
      <c r="I54" s="10">
        <v>1</v>
      </c>
      <c r="J54" s="10">
        <f t="shared" si="0"/>
        <v>1</v>
      </c>
      <c r="K54" s="10">
        <f t="shared" si="1"/>
        <v>1</v>
      </c>
      <c r="L54" s="11" t="str">
        <f t="shared" si="2"/>
        <v>B</v>
      </c>
      <c r="M54" s="10" t="str">
        <f t="shared" si="3"/>
        <v>Desaprobado</v>
      </c>
      <c r="N54" s="14">
        <v>0.4</v>
      </c>
    </row>
    <row r="55" spans="1:14" x14ac:dyDescent="0.25">
      <c r="A55" s="12" t="s">
        <v>69</v>
      </c>
      <c r="B55" s="12" t="s">
        <v>15</v>
      </c>
      <c r="C55" s="12" t="s">
        <v>70</v>
      </c>
      <c r="D55" s="12" t="s">
        <v>79</v>
      </c>
      <c r="E55" s="12">
        <v>1</v>
      </c>
      <c r="F55" s="12">
        <v>0</v>
      </c>
      <c r="G55" s="12">
        <v>2</v>
      </c>
      <c r="H55" s="12">
        <v>0</v>
      </c>
      <c r="I55" s="12">
        <v>2</v>
      </c>
      <c r="J55" s="12">
        <f t="shared" si="0"/>
        <v>1</v>
      </c>
      <c r="K55" s="12">
        <f t="shared" si="1"/>
        <v>1</v>
      </c>
      <c r="L55" s="13" t="str">
        <f t="shared" si="2"/>
        <v>B</v>
      </c>
      <c r="M55" s="12" t="str">
        <f t="shared" si="3"/>
        <v>Desaprobado</v>
      </c>
      <c r="N55" s="15">
        <v>0.4</v>
      </c>
    </row>
    <row r="56" spans="1:14" x14ac:dyDescent="0.25">
      <c r="A56" s="10" t="s">
        <v>71</v>
      </c>
      <c r="B56" s="10" t="s">
        <v>15</v>
      </c>
      <c r="C56" s="10" t="s">
        <v>72</v>
      </c>
      <c r="D56" s="10" t="s">
        <v>79</v>
      </c>
      <c r="E56" s="10">
        <v>0</v>
      </c>
      <c r="F56" s="10">
        <v>0</v>
      </c>
      <c r="G56" s="10">
        <v>1</v>
      </c>
      <c r="H56" s="10">
        <v>1</v>
      </c>
      <c r="I56" s="10">
        <v>3</v>
      </c>
      <c r="J56" s="10">
        <f t="shared" si="0"/>
        <v>1</v>
      </c>
      <c r="K56" s="10">
        <f t="shared" si="1"/>
        <v>1</v>
      </c>
      <c r="L56" s="11" t="str">
        <f t="shared" si="2"/>
        <v>B</v>
      </c>
      <c r="M56" s="10" t="str">
        <f t="shared" si="3"/>
        <v>Desaprobado</v>
      </c>
      <c r="N56" s="14">
        <v>0.5</v>
      </c>
    </row>
    <row r="57" spans="1:14" x14ac:dyDescent="0.25">
      <c r="A57" s="12" t="s">
        <v>73</v>
      </c>
      <c r="B57" s="12" t="s">
        <v>15</v>
      </c>
      <c r="C57" s="12" t="s">
        <v>74</v>
      </c>
      <c r="D57" s="12" t="s">
        <v>79</v>
      </c>
      <c r="E57" s="12">
        <v>0</v>
      </c>
      <c r="F57" s="12">
        <v>3</v>
      </c>
      <c r="G57" s="12">
        <v>2</v>
      </c>
      <c r="H57" s="12">
        <v>3</v>
      </c>
      <c r="I57" s="12">
        <v>0</v>
      </c>
      <c r="J57" s="12">
        <f t="shared" si="0"/>
        <v>1.6</v>
      </c>
      <c r="K57" s="12">
        <f t="shared" si="1"/>
        <v>2</v>
      </c>
      <c r="L57" s="13" t="str">
        <f t="shared" si="2"/>
        <v>A</v>
      </c>
      <c r="M57" s="12" t="str">
        <f t="shared" si="3"/>
        <v>Aprobado</v>
      </c>
      <c r="N57" s="15">
        <v>0.7</v>
      </c>
    </row>
    <row r="58" spans="1:14" x14ac:dyDescent="0.25">
      <c r="A58" s="10" t="s">
        <v>75</v>
      </c>
      <c r="B58" s="10" t="s">
        <v>15</v>
      </c>
      <c r="C58" s="10" t="s">
        <v>76</v>
      </c>
      <c r="D58" s="10" t="s">
        <v>79</v>
      </c>
      <c r="E58" s="10">
        <v>3</v>
      </c>
      <c r="F58" s="10">
        <v>1</v>
      </c>
      <c r="G58" s="10">
        <v>3</v>
      </c>
      <c r="H58" s="10">
        <v>3</v>
      </c>
      <c r="I58" s="10">
        <v>2</v>
      </c>
      <c r="J58" s="10">
        <f t="shared" si="0"/>
        <v>2.4</v>
      </c>
      <c r="K58" s="10">
        <f t="shared" si="1"/>
        <v>2</v>
      </c>
      <c r="L58" s="11" t="str">
        <f t="shared" si="2"/>
        <v>A</v>
      </c>
      <c r="M58" s="10" t="str">
        <f t="shared" si="3"/>
        <v>Aprobado</v>
      </c>
      <c r="N58" s="14">
        <v>0.7</v>
      </c>
    </row>
    <row r="59" spans="1:14" x14ac:dyDescent="0.25">
      <c r="A59" s="12" t="s">
        <v>77</v>
      </c>
      <c r="B59" s="12" t="s">
        <v>15</v>
      </c>
      <c r="C59" s="12" t="s">
        <v>78</v>
      </c>
      <c r="D59" s="12" t="s">
        <v>79</v>
      </c>
      <c r="E59" s="12">
        <v>0</v>
      </c>
      <c r="F59" s="12">
        <v>2</v>
      </c>
      <c r="G59" s="12">
        <v>0</v>
      </c>
      <c r="H59" s="12">
        <v>0</v>
      </c>
      <c r="I59" s="12">
        <v>1</v>
      </c>
      <c r="J59" s="12">
        <f t="shared" si="0"/>
        <v>0.6</v>
      </c>
      <c r="K59" s="12">
        <f t="shared" si="1"/>
        <v>1</v>
      </c>
      <c r="L59" s="13" t="str">
        <f t="shared" si="2"/>
        <v>B</v>
      </c>
      <c r="M59" s="12" t="str">
        <f t="shared" si="3"/>
        <v>Desaprobado</v>
      </c>
      <c r="N59" s="15">
        <v>0.25</v>
      </c>
    </row>
    <row r="60" spans="1:14" x14ac:dyDescent="0.25">
      <c r="A60" s="10" t="s">
        <v>14</v>
      </c>
      <c r="B60" s="10" t="s">
        <v>15</v>
      </c>
      <c r="C60" s="10" t="s">
        <v>16</v>
      </c>
      <c r="D60" s="10" t="s">
        <v>80</v>
      </c>
      <c r="E60" s="10">
        <v>2</v>
      </c>
      <c r="F60" s="10">
        <v>3</v>
      </c>
      <c r="G60" s="10">
        <v>3</v>
      </c>
      <c r="H60" s="10">
        <v>2</v>
      </c>
      <c r="I60" s="10">
        <v>0</v>
      </c>
      <c r="J60" s="10">
        <f t="shared" si="0"/>
        <v>2</v>
      </c>
      <c r="K60" s="10">
        <f t="shared" si="1"/>
        <v>2</v>
      </c>
      <c r="L60" s="11" t="str">
        <f t="shared" si="2"/>
        <v>A</v>
      </c>
      <c r="M60" s="10" t="str">
        <f t="shared" si="3"/>
        <v>Aprobado</v>
      </c>
      <c r="N60" s="14">
        <v>0.2</v>
      </c>
    </row>
    <row r="61" spans="1:14" x14ac:dyDescent="0.25">
      <c r="A61" s="12" t="s">
        <v>19</v>
      </c>
      <c r="B61" s="12" t="s">
        <v>15</v>
      </c>
      <c r="C61" s="12" t="s">
        <v>20</v>
      </c>
      <c r="D61" s="12" t="s">
        <v>80</v>
      </c>
      <c r="E61" s="12">
        <v>2</v>
      </c>
      <c r="F61" s="12">
        <v>0</v>
      </c>
      <c r="G61" s="12">
        <v>3</v>
      </c>
      <c r="H61" s="12">
        <v>0</v>
      </c>
      <c r="I61" s="12">
        <v>3</v>
      </c>
      <c r="J61" s="12">
        <f t="shared" si="0"/>
        <v>1.6</v>
      </c>
      <c r="K61" s="12">
        <f t="shared" si="1"/>
        <v>2</v>
      </c>
      <c r="L61" s="13" t="str">
        <f t="shared" si="2"/>
        <v>A</v>
      </c>
      <c r="M61" s="12" t="str">
        <f t="shared" si="3"/>
        <v>Aprobado</v>
      </c>
      <c r="N61" s="15">
        <v>0.65</v>
      </c>
    </row>
    <row r="62" spans="1:14" x14ac:dyDescent="0.25">
      <c r="A62" s="10" t="s">
        <v>22</v>
      </c>
      <c r="B62" s="10" t="s">
        <v>15</v>
      </c>
      <c r="C62" s="10" t="s">
        <v>23</v>
      </c>
      <c r="D62" s="10" t="s">
        <v>80</v>
      </c>
      <c r="E62" s="10">
        <v>0</v>
      </c>
      <c r="F62" s="10">
        <v>3</v>
      </c>
      <c r="G62" s="10">
        <v>1</v>
      </c>
      <c r="H62" s="10">
        <v>2</v>
      </c>
      <c r="I62" s="10">
        <v>3</v>
      </c>
      <c r="J62" s="10">
        <f t="shared" si="0"/>
        <v>1.8</v>
      </c>
      <c r="K62" s="10">
        <f t="shared" si="1"/>
        <v>2</v>
      </c>
      <c r="L62" s="11" t="str">
        <f t="shared" si="2"/>
        <v>A</v>
      </c>
      <c r="M62" s="10" t="str">
        <f t="shared" si="3"/>
        <v>Aprobado</v>
      </c>
      <c r="N62" s="14">
        <v>0.7</v>
      </c>
    </row>
    <row r="63" spans="1:14" x14ac:dyDescent="0.25">
      <c r="A63" s="12" t="s">
        <v>25</v>
      </c>
      <c r="B63" s="12" t="s">
        <v>15</v>
      </c>
      <c r="C63" s="12" t="s">
        <v>26</v>
      </c>
      <c r="D63" s="12" t="s">
        <v>80</v>
      </c>
      <c r="E63" s="12">
        <v>3</v>
      </c>
      <c r="F63" s="12">
        <v>3</v>
      </c>
      <c r="G63" s="12">
        <v>2</v>
      </c>
      <c r="H63" s="12">
        <v>3</v>
      </c>
      <c r="I63" s="12">
        <v>3</v>
      </c>
      <c r="J63" s="12">
        <f t="shared" si="0"/>
        <v>2.8</v>
      </c>
      <c r="K63" s="12">
        <f t="shared" si="1"/>
        <v>3</v>
      </c>
      <c r="L63" s="13" t="str">
        <f t="shared" si="2"/>
        <v>AD</v>
      </c>
      <c r="M63" s="12" t="str">
        <f t="shared" si="3"/>
        <v>Aprobado</v>
      </c>
      <c r="N63" s="15">
        <v>0.9</v>
      </c>
    </row>
    <row r="64" spans="1:14" x14ac:dyDescent="0.25">
      <c r="A64" s="10" t="s">
        <v>28</v>
      </c>
      <c r="B64" s="10" t="s">
        <v>15</v>
      </c>
      <c r="C64" s="10" t="s">
        <v>29</v>
      </c>
      <c r="D64" s="10" t="s">
        <v>80</v>
      </c>
      <c r="E64" s="10">
        <v>1</v>
      </c>
      <c r="F64" s="10">
        <v>2</v>
      </c>
      <c r="G64" s="10">
        <v>3</v>
      </c>
      <c r="H64" s="10">
        <v>0</v>
      </c>
      <c r="I64" s="10">
        <v>3</v>
      </c>
      <c r="J64" s="10">
        <f t="shared" si="0"/>
        <v>1.8</v>
      </c>
      <c r="K64" s="10">
        <f t="shared" si="1"/>
        <v>2</v>
      </c>
      <c r="L64" s="11" t="str">
        <f t="shared" si="2"/>
        <v>A</v>
      </c>
      <c r="M64" s="10" t="str">
        <f t="shared" si="3"/>
        <v>Aprobado</v>
      </c>
      <c r="N64" s="14">
        <v>0.7</v>
      </c>
    </row>
    <row r="65" spans="1:14" x14ac:dyDescent="0.25">
      <c r="A65" s="12" t="s">
        <v>31</v>
      </c>
      <c r="B65" s="12" t="s">
        <v>15</v>
      </c>
      <c r="C65" s="12" t="s">
        <v>32</v>
      </c>
      <c r="D65" s="12" t="s">
        <v>80</v>
      </c>
      <c r="E65" s="12">
        <v>1</v>
      </c>
      <c r="F65" s="12">
        <v>0</v>
      </c>
      <c r="G65" s="12">
        <v>1</v>
      </c>
      <c r="H65" s="12">
        <v>2</v>
      </c>
      <c r="I65" s="12">
        <v>3</v>
      </c>
      <c r="J65" s="12">
        <f t="shared" si="0"/>
        <v>1.4</v>
      </c>
      <c r="K65" s="12">
        <f t="shared" si="1"/>
        <v>1</v>
      </c>
      <c r="L65" s="13" t="str">
        <f t="shared" si="2"/>
        <v>B</v>
      </c>
      <c r="M65" s="12" t="str">
        <f t="shared" si="3"/>
        <v>Desaprobado</v>
      </c>
      <c r="N65" s="15">
        <v>0.95</v>
      </c>
    </row>
    <row r="66" spans="1:14" x14ac:dyDescent="0.25">
      <c r="A66" s="10" t="s">
        <v>33</v>
      </c>
      <c r="B66" s="10" t="s">
        <v>15</v>
      </c>
      <c r="C66" s="10" t="s">
        <v>34</v>
      </c>
      <c r="D66" s="10" t="s">
        <v>80</v>
      </c>
      <c r="E66" s="10">
        <v>3</v>
      </c>
      <c r="F66" s="10">
        <v>2</v>
      </c>
      <c r="G66" s="10">
        <v>0</v>
      </c>
      <c r="H66" s="10">
        <v>0</v>
      </c>
      <c r="I66" s="10">
        <v>0</v>
      </c>
      <c r="J66" s="10">
        <f t="shared" si="0"/>
        <v>1</v>
      </c>
      <c r="K66" s="10">
        <f t="shared" si="1"/>
        <v>1</v>
      </c>
      <c r="L66" s="11" t="str">
        <f t="shared" si="2"/>
        <v>B</v>
      </c>
      <c r="M66" s="10" t="str">
        <f t="shared" si="3"/>
        <v>Desaprobado</v>
      </c>
      <c r="N66" s="14">
        <v>0.6</v>
      </c>
    </row>
    <row r="67" spans="1:14" x14ac:dyDescent="0.25">
      <c r="A67" s="12" t="s">
        <v>35</v>
      </c>
      <c r="B67" s="12" t="s">
        <v>15</v>
      </c>
      <c r="C67" s="12" t="s">
        <v>36</v>
      </c>
      <c r="D67" s="12" t="s">
        <v>80</v>
      </c>
      <c r="E67" s="12">
        <v>3</v>
      </c>
      <c r="F67" s="12">
        <v>0</v>
      </c>
      <c r="G67" s="12">
        <v>2</v>
      </c>
      <c r="H67" s="12">
        <v>2</v>
      </c>
      <c r="I67" s="12">
        <v>2</v>
      </c>
      <c r="J67" s="12">
        <f t="shared" ref="J67:J130" si="4">+AVERAGE(E67:I67)</f>
        <v>1.8</v>
      </c>
      <c r="K67" s="12">
        <f t="shared" ref="K67:K130" si="5">+ROUND(J67,0)</f>
        <v>2</v>
      </c>
      <c r="L67" s="13" t="str">
        <f t="shared" ref="L67:L130" si="6">+_xlfn.XLOOKUP(K67,$R$3:$R$6,$S$3:$S$6)</f>
        <v>A</v>
      </c>
      <c r="M67" s="12" t="str">
        <f t="shared" ref="M67:M130" si="7">+IF(OR(L67="AD",L67="A"),"Aprobado","Desaprobado")</f>
        <v>Aprobado</v>
      </c>
      <c r="N67" s="15">
        <v>0.1</v>
      </c>
    </row>
    <row r="68" spans="1:14" x14ac:dyDescent="0.25">
      <c r="A68" s="10" t="s">
        <v>37</v>
      </c>
      <c r="B68" s="10" t="s">
        <v>15</v>
      </c>
      <c r="C68" s="10" t="s">
        <v>38</v>
      </c>
      <c r="D68" s="10" t="s">
        <v>80</v>
      </c>
      <c r="E68" s="10">
        <v>1</v>
      </c>
      <c r="F68" s="10">
        <v>1</v>
      </c>
      <c r="G68" s="10">
        <v>0</v>
      </c>
      <c r="H68" s="10">
        <v>2</v>
      </c>
      <c r="I68" s="10">
        <v>2</v>
      </c>
      <c r="J68" s="10">
        <f t="shared" si="4"/>
        <v>1.2</v>
      </c>
      <c r="K68" s="10">
        <f t="shared" si="5"/>
        <v>1</v>
      </c>
      <c r="L68" s="11" t="str">
        <f t="shared" si="6"/>
        <v>B</v>
      </c>
      <c r="M68" s="10" t="str">
        <f t="shared" si="7"/>
        <v>Desaprobado</v>
      </c>
      <c r="N68" s="14">
        <v>0.9</v>
      </c>
    </row>
    <row r="69" spans="1:14" x14ac:dyDescent="0.25">
      <c r="A69" s="12" t="s">
        <v>39</v>
      </c>
      <c r="B69" s="12" t="s">
        <v>15</v>
      </c>
      <c r="C69" s="12" t="s">
        <v>40</v>
      </c>
      <c r="D69" s="12" t="s">
        <v>80</v>
      </c>
      <c r="E69" s="12">
        <v>0</v>
      </c>
      <c r="F69" s="12">
        <v>2</v>
      </c>
      <c r="G69" s="12">
        <v>1</v>
      </c>
      <c r="H69" s="12">
        <v>2</v>
      </c>
      <c r="I69" s="12">
        <v>0</v>
      </c>
      <c r="J69" s="12">
        <f t="shared" si="4"/>
        <v>1</v>
      </c>
      <c r="K69" s="12">
        <f t="shared" si="5"/>
        <v>1</v>
      </c>
      <c r="L69" s="13" t="str">
        <f t="shared" si="6"/>
        <v>B</v>
      </c>
      <c r="M69" s="12" t="str">
        <f t="shared" si="7"/>
        <v>Desaprobado</v>
      </c>
      <c r="N69" s="15">
        <v>0.95</v>
      </c>
    </row>
    <row r="70" spans="1:14" x14ac:dyDescent="0.25">
      <c r="A70" s="10" t="s">
        <v>41</v>
      </c>
      <c r="B70" s="10" t="s">
        <v>15</v>
      </c>
      <c r="C70" s="10" t="s">
        <v>42</v>
      </c>
      <c r="D70" s="10" t="s">
        <v>80</v>
      </c>
      <c r="E70" s="10">
        <v>1</v>
      </c>
      <c r="F70" s="10">
        <v>3</v>
      </c>
      <c r="G70" s="10">
        <v>0</v>
      </c>
      <c r="H70" s="10">
        <v>0</v>
      </c>
      <c r="I70" s="10">
        <v>2</v>
      </c>
      <c r="J70" s="10">
        <f t="shared" si="4"/>
        <v>1.2</v>
      </c>
      <c r="K70" s="10">
        <f t="shared" si="5"/>
        <v>1</v>
      </c>
      <c r="L70" s="11" t="str">
        <f t="shared" si="6"/>
        <v>B</v>
      </c>
      <c r="M70" s="10" t="str">
        <f t="shared" si="7"/>
        <v>Desaprobado</v>
      </c>
      <c r="N70" s="14">
        <v>0.6</v>
      </c>
    </row>
    <row r="71" spans="1:14" x14ac:dyDescent="0.25">
      <c r="A71" s="12" t="s">
        <v>43</v>
      </c>
      <c r="B71" s="12" t="s">
        <v>15</v>
      </c>
      <c r="C71" s="12" t="s">
        <v>44</v>
      </c>
      <c r="D71" s="12" t="s">
        <v>80</v>
      </c>
      <c r="E71" s="12">
        <v>3</v>
      </c>
      <c r="F71" s="12">
        <v>0</v>
      </c>
      <c r="G71" s="12">
        <v>1</v>
      </c>
      <c r="H71" s="12">
        <v>1</v>
      </c>
      <c r="I71" s="12">
        <v>2</v>
      </c>
      <c r="J71" s="12">
        <f t="shared" si="4"/>
        <v>1.4</v>
      </c>
      <c r="K71" s="12">
        <f t="shared" si="5"/>
        <v>1</v>
      </c>
      <c r="L71" s="13" t="str">
        <f t="shared" si="6"/>
        <v>B</v>
      </c>
      <c r="M71" s="12" t="str">
        <f t="shared" si="7"/>
        <v>Desaprobado</v>
      </c>
      <c r="N71" s="15">
        <v>0.2</v>
      </c>
    </row>
    <row r="72" spans="1:14" x14ac:dyDescent="0.25">
      <c r="A72" s="10" t="s">
        <v>45</v>
      </c>
      <c r="B72" s="10" t="s">
        <v>15</v>
      </c>
      <c r="C72" s="10" t="s">
        <v>46</v>
      </c>
      <c r="D72" s="10" t="s">
        <v>80</v>
      </c>
      <c r="E72" s="10">
        <v>3</v>
      </c>
      <c r="F72" s="10">
        <v>3</v>
      </c>
      <c r="G72" s="10">
        <v>2</v>
      </c>
      <c r="H72" s="10">
        <v>0</v>
      </c>
      <c r="I72" s="10">
        <v>0</v>
      </c>
      <c r="J72" s="10">
        <f t="shared" si="4"/>
        <v>1.6</v>
      </c>
      <c r="K72" s="10">
        <f t="shared" si="5"/>
        <v>2</v>
      </c>
      <c r="L72" s="11" t="str">
        <f t="shared" si="6"/>
        <v>A</v>
      </c>
      <c r="M72" s="10" t="str">
        <f t="shared" si="7"/>
        <v>Aprobado</v>
      </c>
      <c r="N72" s="14">
        <v>0.95</v>
      </c>
    </row>
    <row r="73" spans="1:14" x14ac:dyDescent="0.25">
      <c r="A73" s="12" t="s">
        <v>47</v>
      </c>
      <c r="B73" s="12" t="s">
        <v>15</v>
      </c>
      <c r="C73" s="12" t="s">
        <v>48</v>
      </c>
      <c r="D73" s="12" t="s">
        <v>80</v>
      </c>
      <c r="E73" s="12">
        <v>0</v>
      </c>
      <c r="F73" s="12">
        <v>3</v>
      </c>
      <c r="G73" s="12">
        <v>1</v>
      </c>
      <c r="H73" s="12">
        <v>1</v>
      </c>
      <c r="I73" s="12">
        <v>0</v>
      </c>
      <c r="J73" s="12">
        <f t="shared" si="4"/>
        <v>1</v>
      </c>
      <c r="K73" s="12">
        <f t="shared" si="5"/>
        <v>1</v>
      </c>
      <c r="L73" s="13" t="str">
        <f t="shared" si="6"/>
        <v>B</v>
      </c>
      <c r="M73" s="12" t="str">
        <f t="shared" si="7"/>
        <v>Desaprobado</v>
      </c>
      <c r="N73" s="15">
        <v>0.8</v>
      </c>
    </row>
    <row r="74" spans="1:14" x14ac:dyDescent="0.25">
      <c r="A74" s="10" t="s">
        <v>49</v>
      </c>
      <c r="B74" s="10" t="s">
        <v>15</v>
      </c>
      <c r="C74" s="10" t="s">
        <v>50</v>
      </c>
      <c r="D74" s="10" t="s">
        <v>80</v>
      </c>
      <c r="E74" s="10">
        <v>3</v>
      </c>
      <c r="F74" s="10">
        <v>0</v>
      </c>
      <c r="G74" s="10">
        <v>2</v>
      </c>
      <c r="H74" s="10">
        <v>2</v>
      </c>
      <c r="I74" s="10">
        <v>2</v>
      </c>
      <c r="J74" s="10">
        <f t="shared" si="4"/>
        <v>1.8</v>
      </c>
      <c r="K74" s="10">
        <f t="shared" si="5"/>
        <v>2</v>
      </c>
      <c r="L74" s="11" t="str">
        <f t="shared" si="6"/>
        <v>A</v>
      </c>
      <c r="M74" s="10" t="str">
        <f t="shared" si="7"/>
        <v>Aprobado</v>
      </c>
      <c r="N74" s="14">
        <v>0.25</v>
      </c>
    </row>
    <row r="75" spans="1:14" x14ac:dyDescent="0.25">
      <c r="A75" s="12" t="s">
        <v>51</v>
      </c>
      <c r="B75" s="12" t="s">
        <v>15</v>
      </c>
      <c r="C75" s="12" t="s">
        <v>52</v>
      </c>
      <c r="D75" s="12" t="s">
        <v>80</v>
      </c>
      <c r="E75" s="12">
        <v>2</v>
      </c>
      <c r="F75" s="12">
        <v>3</v>
      </c>
      <c r="G75" s="12">
        <v>0</v>
      </c>
      <c r="H75" s="12">
        <v>2</v>
      </c>
      <c r="I75" s="12">
        <v>0</v>
      </c>
      <c r="J75" s="12">
        <f t="shared" si="4"/>
        <v>1.4</v>
      </c>
      <c r="K75" s="12">
        <f t="shared" si="5"/>
        <v>1</v>
      </c>
      <c r="L75" s="13" t="str">
        <f t="shared" si="6"/>
        <v>B</v>
      </c>
      <c r="M75" s="12" t="str">
        <f t="shared" si="7"/>
        <v>Desaprobado</v>
      </c>
      <c r="N75" s="15">
        <v>0.4</v>
      </c>
    </row>
    <row r="76" spans="1:14" x14ac:dyDescent="0.25">
      <c r="A76" s="10" t="s">
        <v>53</v>
      </c>
      <c r="B76" s="10" t="s">
        <v>15</v>
      </c>
      <c r="C76" s="10" t="s">
        <v>54</v>
      </c>
      <c r="D76" s="10" t="s">
        <v>80</v>
      </c>
      <c r="E76" s="10">
        <v>2</v>
      </c>
      <c r="F76" s="10">
        <v>2</v>
      </c>
      <c r="G76" s="10">
        <v>1</v>
      </c>
      <c r="H76" s="10">
        <v>1</v>
      </c>
      <c r="I76" s="10">
        <v>1</v>
      </c>
      <c r="J76" s="10">
        <f t="shared" si="4"/>
        <v>1.4</v>
      </c>
      <c r="K76" s="10">
        <f t="shared" si="5"/>
        <v>1</v>
      </c>
      <c r="L76" s="11" t="str">
        <f t="shared" si="6"/>
        <v>B</v>
      </c>
      <c r="M76" s="10" t="str">
        <f t="shared" si="7"/>
        <v>Desaprobado</v>
      </c>
      <c r="N76" s="14">
        <v>0.4</v>
      </c>
    </row>
    <row r="77" spans="1:14" x14ac:dyDescent="0.25">
      <c r="A77" s="12" t="s">
        <v>55</v>
      </c>
      <c r="B77" s="12" t="s">
        <v>15</v>
      </c>
      <c r="C77" s="12" t="s">
        <v>56</v>
      </c>
      <c r="D77" s="12" t="s">
        <v>80</v>
      </c>
      <c r="E77" s="12">
        <v>0</v>
      </c>
      <c r="F77" s="12">
        <v>0</v>
      </c>
      <c r="G77" s="12">
        <v>0</v>
      </c>
      <c r="H77" s="12">
        <v>1</v>
      </c>
      <c r="I77" s="12">
        <v>1</v>
      </c>
      <c r="J77" s="12">
        <f t="shared" si="4"/>
        <v>0.4</v>
      </c>
      <c r="K77" s="12">
        <f t="shared" si="5"/>
        <v>0</v>
      </c>
      <c r="L77" s="13" t="str">
        <f t="shared" si="6"/>
        <v>C</v>
      </c>
      <c r="M77" s="12" t="str">
        <f t="shared" si="7"/>
        <v>Desaprobado</v>
      </c>
      <c r="N77" s="15">
        <v>0.5</v>
      </c>
    </row>
    <row r="78" spans="1:14" x14ac:dyDescent="0.25">
      <c r="A78" s="10" t="s">
        <v>57</v>
      </c>
      <c r="B78" s="10" t="s">
        <v>15</v>
      </c>
      <c r="C78" s="10" t="s">
        <v>58</v>
      </c>
      <c r="D78" s="10" t="s">
        <v>80</v>
      </c>
      <c r="E78" s="10">
        <v>3</v>
      </c>
      <c r="F78" s="10">
        <v>0</v>
      </c>
      <c r="G78" s="10">
        <v>0</v>
      </c>
      <c r="H78" s="10">
        <v>1</v>
      </c>
      <c r="I78" s="10">
        <v>2</v>
      </c>
      <c r="J78" s="10">
        <f t="shared" si="4"/>
        <v>1.2</v>
      </c>
      <c r="K78" s="10">
        <f t="shared" si="5"/>
        <v>1</v>
      </c>
      <c r="L78" s="11" t="str">
        <f t="shared" si="6"/>
        <v>B</v>
      </c>
      <c r="M78" s="10" t="str">
        <f t="shared" si="7"/>
        <v>Desaprobado</v>
      </c>
      <c r="N78" s="14">
        <v>0.7</v>
      </c>
    </row>
    <row r="79" spans="1:14" x14ac:dyDescent="0.25">
      <c r="A79" s="12" t="s">
        <v>59</v>
      </c>
      <c r="B79" s="12" t="s">
        <v>15</v>
      </c>
      <c r="C79" s="12" t="s">
        <v>60</v>
      </c>
      <c r="D79" s="12" t="s">
        <v>80</v>
      </c>
      <c r="E79" s="12">
        <v>1</v>
      </c>
      <c r="F79" s="12">
        <v>2</v>
      </c>
      <c r="G79" s="12">
        <v>3</v>
      </c>
      <c r="H79" s="12">
        <v>0</v>
      </c>
      <c r="I79" s="12">
        <v>2</v>
      </c>
      <c r="J79" s="12">
        <f t="shared" si="4"/>
        <v>1.6</v>
      </c>
      <c r="K79" s="12">
        <f t="shared" si="5"/>
        <v>2</v>
      </c>
      <c r="L79" s="13" t="str">
        <f t="shared" si="6"/>
        <v>A</v>
      </c>
      <c r="M79" s="12" t="str">
        <f t="shared" si="7"/>
        <v>Aprobado</v>
      </c>
      <c r="N79" s="15">
        <v>0.7</v>
      </c>
    </row>
    <row r="80" spans="1:14" x14ac:dyDescent="0.25">
      <c r="A80" s="10" t="s">
        <v>61</v>
      </c>
      <c r="B80" s="10" t="s">
        <v>15</v>
      </c>
      <c r="C80" s="10" t="s">
        <v>62</v>
      </c>
      <c r="D80" s="10" t="s">
        <v>80</v>
      </c>
      <c r="E80" s="10">
        <v>1</v>
      </c>
      <c r="F80" s="10">
        <v>2</v>
      </c>
      <c r="G80" s="10">
        <v>3</v>
      </c>
      <c r="H80" s="10">
        <v>1</v>
      </c>
      <c r="I80" s="10">
        <v>0</v>
      </c>
      <c r="J80" s="10">
        <f t="shared" si="4"/>
        <v>1.4</v>
      </c>
      <c r="K80" s="10">
        <f t="shared" si="5"/>
        <v>1</v>
      </c>
      <c r="L80" s="11" t="str">
        <f t="shared" si="6"/>
        <v>B</v>
      </c>
      <c r="M80" s="10" t="str">
        <f t="shared" si="7"/>
        <v>Desaprobado</v>
      </c>
      <c r="N80" s="14">
        <v>0.25</v>
      </c>
    </row>
    <row r="81" spans="1:14" x14ac:dyDescent="0.25">
      <c r="A81" s="12" t="s">
        <v>63</v>
      </c>
      <c r="B81" s="12" t="s">
        <v>15</v>
      </c>
      <c r="C81" s="12" t="s">
        <v>64</v>
      </c>
      <c r="D81" s="12" t="s">
        <v>80</v>
      </c>
      <c r="E81" s="12">
        <v>0</v>
      </c>
      <c r="F81" s="12">
        <v>2</v>
      </c>
      <c r="G81" s="12">
        <v>3</v>
      </c>
      <c r="H81" s="12">
        <v>0</v>
      </c>
      <c r="I81" s="12">
        <v>1</v>
      </c>
      <c r="J81" s="12">
        <f t="shared" si="4"/>
        <v>1.2</v>
      </c>
      <c r="K81" s="12">
        <f t="shared" si="5"/>
        <v>1</v>
      </c>
      <c r="L81" s="13" t="str">
        <f t="shared" si="6"/>
        <v>B</v>
      </c>
      <c r="M81" s="12" t="str">
        <f t="shared" si="7"/>
        <v>Desaprobado</v>
      </c>
      <c r="N81" s="15">
        <v>0.2</v>
      </c>
    </row>
    <row r="82" spans="1:14" x14ac:dyDescent="0.25">
      <c r="A82" s="10" t="s">
        <v>65</v>
      </c>
      <c r="B82" s="10" t="s">
        <v>15</v>
      </c>
      <c r="C82" s="10" t="s">
        <v>66</v>
      </c>
      <c r="D82" s="10" t="s">
        <v>80</v>
      </c>
      <c r="E82" s="10">
        <v>1</v>
      </c>
      <c r="F82" s="10">
        <v>3</v>
      </c>
      <c r="G82" s="10">
        <v>0</v>
      </c>
      <c r="H82" s="10">
        <v>3</v>
      </c>
      <c r="I82" s="10">
        <v>1</v>
      </c>
      <c r="J82" s="10">
        <f t="shared" si="4"/>
        <v>1.6</v>
      </c>
      <c r="K82" s="10">
        <f t="shared" si="5"/>
        <v>2</v>
      </c>
      <c r="L82" s="11" t="str">
        <f t="shared" si="6"/>
        <v>A</v>
      </c>
      <c r="M82" s="10" t="str">
        <f t="shared" si="7"/>
        <v>Aprobado</v>
      </c>
      <c r="N82" s="14">
        <v>0.65</v>
      </c>
    </row>
    <row r="83" spans="1:14" x14ac:dyDescent="0.25">
      <c r="A83" s="12" t="s">
        <v>67</v>
      </c>
      <c r="B83" s="12" t="s">
        <v>15</v>
      </c>
      <c r="C83" s="12" t="s">
        <v>68</v>
      </c>
      <c r="D83" s="12" t="s">
        <v>80</v>
      </c>
      <c r="E83" s="12">
        <v>3</v>
      </c>
      <c r="F83" s="12">
        <v>3</v>
      </c>
      <c r="G83" s="12">
        <v>1</v>
      </c>
      <c r="H83" s="12">
        <v>0</v>
      </c>
      <c r="I83" s="12">
        <v>3</v>
      </c>
      <c r="J83" s="12">
        <f t="shared" si="4"/>
        <v>2</v>
      </c>
      <c r="K83" s="12">
        <f t="shared" si="5"/>
        <v>2</v>
      </c>
      <c r="L83" s="13" t="str">
        <f t="shared" si="6"/>
        <v>A</v>
      </c>
      <c r="M83" s="12" t="str">
        <f t="shared" si="7"/>
        <v>Aprobado</v>
      </c>
      <c r="N83" s="15">
        <v>0.7</v>
      </c>
    </row>
    <row r="84" spans="1:14" x14ac:dyDescent="0.25">
      <c r="A84" s="10" t="s">
        <v>69</v>
      </c>
      <c r="B84" s="10" t="s">
        <v>15</v>
      </c>
      <c r="C84" s="10" t="s">
        <v>70</v>
      </c>
      <c r="D84" s="10" t="s">
        <v>80</v>
      </c>
      <c r="E84" s="10">
        <v>3</v>
      </c>
      <c r="F84" s="10">
        <v>2</v>
      </c>
      <c r="G84" s="10">
        <v>3</v>
      </c>
      <c r="H84" s="10">
        <v>2</v>
      </c>
      <c r="I84" s="10">
        <v>2</v>
      </c>
      <c r="J84" s="10">
        <f t="shared" si="4"/>
        <v>2.4</v>
      </c>
      <c r="K84" s="10">
        <f t="shared" si="5"/>
        <v>2</v>
      </c>
      <c r="L84" s="11" t="str">
        <f t="shared" si="6"/>
        <v>A</v>
      </c>
      <c r="M84" s="10" t="str">
        <f t="shared" si="7"/>
        <v>Aprobado</v>
      </c>
      <c r="N84" s="14">
        <v>0.9</v>
      </c>
    </row>
    <row r="85" spans="1:14" x14ac:dyDescent="0.25">
      <c r="A85" s="12" t="s">
        <v>71</v>
      </c>
      <c r="B85" s="12" t="s">
        <v>15</v>
      </c>
      <c r="C85" s="12" t="s">
        <v>72</v>
      </c>
      <c r="D85" s="12" t="s">
        <v>80</v>
      </c>
      <c r="E85" s="12">
        <v>0</v>
      </c>
      <c r="F85" s="12">
        <v>3</v>
      </c>
      <c r="G85" s="12">
        <v>0</v>
      </c>
      <c r="H85" s="12">
        <v>2</v>
      </c>
      <c r="I85" s="12">
        <v>2</v>
      </c>
      <c r="J85" s="12">
        <f t="shared" si="4"/>
        <v>1.4</v>
      </c>
      <c r="K85" s="12">
        <f t="shared" si="5"/>
        <v>1</v>
      </c>
      <c r="L85" s="13" t="str">
        <f t="shared" si="6"/>
        <v>B</v>
      </c>
      <c r="M85" s="12" t="str">
        <f t="shared" si="7"/>
        <v>Desaprobado</v>
      </c>
      <c r="N85" s="15">
        <v>0.7</v>
      </c>
    </row>
    <row r="86" spans="1:14" x14ac:dyDescent="0.25">
      <c r="A86" s="10" t="s">
        <v>73</v>
      </c>
      <c r="B86" s="10" t="s">
        <v>15</v>
      </c>
      <c r="C86" s="10" t="s">
        <v>74</v>
      </c>
      <c r="D86" s="10" t="s">
        <v>80</v>
      </c>
      <c r="E86" s="10">
        <v>2</v>
      </c>
      <c r="F86" s="10">
        <v>0</v>
      </c>
      <c r="G86" s="10">
        <v>1</v>
      </c>
      <c r="H86" s="10">
        <v>2</v>
      </c>
      <c r="I86" s="10">
        <v>3</v>
      </c>
      <c r="J86" s="10">
        <f t="shared" si="4"/>
        <v>1.6</v>
      </c>
      <c r="K86" s="10">
        <f t="shared" si="5"/>
        <v>2</v>
      </c>
      <c r="L86" s="11" t="str">
        <f t="shared" si="6"/>
        <v>A</v>
      </c>
      <c r="M86" s="10" t="str">
        <f t="shared" si="7"/>
        <v>Aprobado</v>
      </c>
      <c r="N86" s="14">
        <v>0.95</v>
      </c>
    </row>
    <row r="87" spans="1:14" x14ac:dyDescent="0.25">
      <c r="A87" s="12" t="s">
        <v>75</v>
      </c>
      <c r="B87" s="12" t="s">
        <v>15</v>
      </c>
      <c r="C87" s="12" t="s">
        <v>76</v>
      </c>
      <c r="D87" s="12" t="s">
        <v>80</v>
      </c>
      <c r="E87" s="12">
        <v>2</v>
      </c>
      <c r="F87" s="12">
        <v>1</v>
      </c>
      <c r="G87" s="12">
        <v>2</v>
      </c>
      <c r="H87" s="12">
        <v>2</v>
      </c>
      <c r="I87" s="12">
        <v>3</v>
      </c>
      <c r="J87" s="12">
        <f t="shared" si="4"/>
        <v>2</v>
      </c>
      <c r="K87" s="12">
        <f t="shared" si="5"/>
        <v>2</v>
      </c>
      <c r="L87" s="13" t="str">
        <f t="shared" si="6"/>
        <v>A</v>
      </c>
      <c r="M87" s="12" t="str">
        <f t="shared" si="7"/>
        <v>Aprobado</v>
      </c>
      <c r="N87" s="15">
        <v>0.6</v>
      </c>
    </row>
    <row r="88" spans="1:14" x14ac:dyDescent="0.25">
      <c r="A88" s="10" t="s">
        <v>77</v>
      </c>
      <c r="B88" s="10" t="s">
        <v>15</v>
      </c>
      <c r="C88" s="10" t="s">
        <v>78</v>
      </c>
      <c r="D88" s="10" t="s">
        <v>80</v>
      </c>
      <c r="E88" s="10">
        <v>2</v>
      </c>
      <c r="F88" s="10">
        <v>0</v>
      </c>
      <c r="G88" s="10">
        <v>0</v>
      </c>
      <c r="H88" s="10">
        <v>2</v>
      </c>
      <c r="I88" s="10">
        <v>3</v>
      </c>
      <c r="J88" s="10">
        <f t="shared" si="4"/>
        <v>1.4</v>
      </c>
      <c r="K88" s="10">
        <f t="shared" si="5"/>
        <v>1</v>
      </c>
      <c r="L88" s="11" t="str">
        <f t="shared" si="6"/>
        <v>B</v>
      </c>
      <c r="M88" s="10" t="str">
        <f t="shared" si="7"/>
        <v>Desaprobado</v>
      </c>
      <c r="N88" s="14">
        <v>0.1</v>
      </c>
    </row>
    <row r="89" spans="1:14" x14ac:dyDescent="0.25">
      <c r="A89" s="12" t="s">
        <v>14</v>
      </c>
      <c r="B89" s="12" t="s">
        <v>15</v>
      </c>
      <c r="C89" s="12" t="s">
        <v>16</v>
      </c>
      <c r="D89" s="12" t="s">
        <v>81</v>
      </c>
      <c r="E89" s="12">
        <v>1</v>
      </c>
      <c r="F89" s="12">
        <v>0</v>
      </c>
      <c r="G89" s="12">
        <v>3</v>
      </c>
      <c r="H89" s="12">
        <v>1</v>
      </c>
      <c r="I89" s="12">
        <v>2</v>
      </c>
      <c r="J89" s="12">
        <f t="shared" si="4"/>
        <v>1.4</v>
      </c>
      <c r="K89" s="12">
        <f t="shared" si="5"/>
        <v>1</v>
      </c>
      <c r="L89" s="13" t="str">
        <f t="shared" si="6"/>
        <v>B</v>
      </c>
      <c r="M89" s="12" t="str">
        <f t="shared" si="7"/>
        <v>Desaprobado</v>
      </c>
      <c r="N89" s="15">
        <v>0.9</v>
      </c>
    </row>
    <row r="90" spans="1:14" x14ac:dyDescent="0.25">
      <c r="A90" s="10" t="s">
        <v>19</v>
      </c>
      <c r="B90" s="10" t="s">
        <v>15</v>
      </c>
      <c r="C90" s="10" t="s">
        <v>20</v>
      </c>
      <c r="D90" s="10" t="s">
        <v>81</v>
      </c>
      <c r="E90" s="10">
        <v>2</v>
      </c>
      <c r="F90" s="10">
        <v>1</v>
      </c>
      <c r="G90" s="10">
        <v>2</v>
      </c>
      <c r="H90" s="10">
        <v>2</v>
      </c>
      <c r="I90" s="10">
        <v>3</v>
      </c>
      <c r="J90" s="10">
        <f t="shared" si="4"/>
        <v>2</v>
      </c>
      <c r="K90" s="10">
        <f t="shared" si="5"/>
        <v>2</v>
      </c>
      <c r="L90" s="11" t="str">
        <f t="shared" si="6"/>
        <v>A</v>
      </c>
      <c r="M90" s="10" t="str">
        <f t="shared" si="7"/>
        <v>Aprobado</v>
      </c>
      <c r="N90" s="14">
        <v>0.95</v>
      </c>
    </row>
    <row r="91" spans="1:14" x14ac:dyDescent="0.25">
      <c r="A91" s="12" t="s">
        <v>22</v>
      </c>
      <c r="B91" s="12" t="s">
        <v>15</v>
      </c>
      <c r="C91" s="12" t="s">
        <v>23</v>
      </c>
      <c r="D91" s="12" t="s">
        <v>81</v>
      </c>
      <c r="E91" s="12">
        <v>2</v>
      </c>
      <c r="F91" s="12">
        <v>2</v>
      </c>
      <c r="G91" s="12">
        <v>0</v>
      </c>
      <c r="H91" s="12">
        <v>3</v>
      </c>
      <c r="I91" s="12">
        <v>0</v>
      </c>
      <c r="J91" s="12">
        <f t="shared" si="4"/>
        <v>1.4</v>
      </c>
      <c r="K91" s="12">
        <f t="shared" si="5"/>
        <v>1</v>
      </c>
      <c r="L91" s="13" t="str">
        <f t="shared" si="6"/>
        <v>B</v>
      </c>
      <c r="M91" s="12" t="str">
        <f t="shared" si="7"/>
        <v>Desaprobado</v>
      </c>
      <c r="N91" s="15">
        <v>0.9</v>
      </c>
    </row>
    <row r="92" spans="1:14" x14ac:dyDescent="0.25">
      <c r="A92" s="10" t="s">
        <v>25</v>
      </c>
      <c r="B92" s="10" t="s">
        <v>15</v>
      </c>
      <c r="C92" s="10" t="s">
        <v>26</v>
      </c>
      <c r="D92" s="10" t="s">
        <v>81</v>
      </c>
      <c r="E92" s="10">
        <v>0</v>
      </c>
      <c r="F92" s="10">
        <v>3</v>
      </c>
      <c r="G92" s="10">
        <v>0</v>
      </c>
      <c r="H92" s="10">
        <v>1</v>
      </c>
      <c r="I92" s="10">
        <v>2</v>
      </c>
      <c r="J92" s="10">
        <f t="shared" si="4"/>
        <v>1.2</v>
      </c>
      <c r="K92" s="10">
        <f t="shared" si="5"/>
        <v>1</v>
      </c>
      <c r="L92" s="11" t="str">
        <f t="shared" si="6"/>
        <v>B</v>
      </c>
      <c r="M92" s="10" t="str">
        <f t="shared" si="7"/>
        <v>Desaprobado</v>
      </c>
      <c r="N92" s="14">
        <v>0.2</v>
      </c>
    </row>
    <row r="93" spans="1:14" x14ac:dyDescent="0.25">
      <c r="A93" s="12" t="s">
        <v>28</v>
      </c>
      <c r="B93" s="12" t="s">
        <v>15</v>
      </c>
      <c r="C93" s="12" t="s">
        <v>29</v>
      </c>
      <c r="D93" s="12" t="s">
        <v>81</v>
      </c>
      <c r="E93" s="12">
        <v>3</v>
      </c>
      <c r="F93" s="12">
        <v>0</v>
      </c>
      <c r="G93" s="12">
        <v>1</v>
      </c>
      <c r="H93" s="12">
        <v>1</v>
      </c>
      <c r="I93" s="12">
        <v>3</v>
      </c>
      <c r="J93" s="12">
        <f t="shared" si="4"/>
        <v>1.6</v>
      </c>
      <c r="K93" s="12">
        <f t="shared" si="5"/>
        <v>2</v>
      </c>
      <c r="L93" s="13" t="str">
        <f t="shared" si="6"/>
        <v>A</v>
      </c>
      <c r="M93" s="12" t="str">
        <f t="shared" si="7"/>
        <v>Aprobado</v>
      </c>
      <c r="N93" s="15">
        <v>0.95</v>
      </c>
    </row>
    <row r="94" spans="1:14" x14ac:dyDescent="0.25">
      <c r="A94" s="10" t="s">
        <v>31</v>
      </c>
      <c r="B94" s="10" t="s">
        <v>15</v>
      </c>
      <c r="C94" s="10" t="s">
        <v>32</v>
      </c>
      <c r="D94" s="10" t="s">
        <v>81</v>
      </c>
      <c r="E94" s="10">
        <v>3</v>
      </c>
      <c r="F94" s="10">
        <v>0</v>
      </c>
      <c r="G94" s="10">
        <v>2</v>
      </c>
      <c r="H94" s="10">
        <v>0</v>
      </c>
      <c r="I94" s="10">
        <v>3</v>
      </c>
      <c r="J94" s="10">
        <f t="shared" si="4"/>
        <v>1.6</v>
      </c>
      <c r="K94" s="10">
        <f t="shared" si="5"/>
        <v>2</v>
      </c>
      <c r="L94" s="11" t="str">
        <f t="shared" si="6"/>
        <v>A</v>
      </c>
      <c r="M94" s="10" t="str">
        <f t="shared" si="7"/>
        <v>Aprobado</v>
      </c>
      <c r="N94" s="14">
        <v>0.8</v>
      </c>
    </row>
    <row r="95" spans="1:14" x14ac:dyDescent="0.25">
      <c r="A95" s="12" t="s">
        <v>33</v>
      </c>
      <c r="B95" s="12" t="s">
        <v>15</v>
      </c>
      <c r="C95" s="12" t="s">
        <v>34</v>
      </c>
      <c r="D95" s="12" t="s">
        <v>81</v>
      </c>
      <c r="E95" s="12">
        <v>3</v>
      </c>
      <c r="F95" s="12">
        <v>1</v>
      </c>
      <c r="G95" s="12">
        <v>1</v>
      </c>
      <c r="H95" s="12">
        <v>3</v>
      </c>
      <c r="I95" s="12">
        <v>3</v>
      </c>
      <c r="J95" s="12">
        <f t="shared" si="4"/>
        <v>2.2000000000000002</v>
      </c>
      <c r="K95" s="12">
        <f t="shared" si="5"/>
        <v>2</v>
      </c>
      <c r="L95" s="13" t="str">
        <f t="shared" si="6"/>
        <v>A</v>
      </c>
      <c r="M95" s="12" t="str">
        <f t="shared" si="7"/>
        <v>Aprobado</v>
      </c>
      <c r="N95" s="15">
        <v>0.25</v>
      </c>
    </row>
    <row r="96" spans="1:14" x14ac:dyDescent="0.25">
      <c r="A96" s="10" t="s">
        <v>35</v>
      </c>
      <c r="B96" s="10" t="s">
        <v>15</v>
      </c>
      <c r="C96" s="10" t="s">
        <v>36</v>
      </c>
      <c r="D96" s="10" t="s">
        <v>81</v>
      </c>
      <c r="E96" s="10">
        <v>0</v>
      </c>
      <c r="F96" s="10">
        <v>0</v>
      </c>
      <c r="G96" s="10">
        <v>1</v>
      </c>
      <c r="H96" s="10">
        <v>0</v>
      </c>
      <c r="I96" s="10">
        <v>2</v>
      </c>
      <c r="J96" s="10">
        <f t="shared" si="4"/>
        <v>0.6</v>
      </c>
      <c r="K96" s="10">
        <f t="shared" si="5"/>
        <v>1</v>
      </c>
      <c r="L96" s="11" t="str">
        <f t="shared" si="6"/>
        <v>B</v>
      </c>
      <c r="M96" s="10" t="str">
        <f t="shared" si="7"/>
        <v>Desaprobado</v>
      </c>
      <c r="N96" s="14">
        <v>0.4</v>
      </c>
    </row>
    <row r="97" spans="1:14" x14ac:dyDescent="0.25">
      <c r="A97" s="12" t="s">
        <v>37</v>
      </c>
      <c r="B97" s="12" t="s">
        <v>15</v>
      </c>
      <c r="C97" s="12" t="s">
        <v>38</v>
      </c>
      <c r="D97" s="12" t="s">
        <v>81</v>
      </c>
      <c r="E97" s="12">
        <v>1</v>
      </c>
      <c r="F97" s="12">
        <v>1</v>
      </c>
      <c r="G97" s="12">
        <v>3</v>
      </c>
      <c r="H97" s="12">
        <v>0</v>
      </c>
      <c r="I97" s="12">
        <v>3</v>
      </c>
      <c r="J97" s="12">
        <f t="shared" si="4"/>
        <v>1.6</v>
      </c>
      <c r="K97" s="12">
        <f t="shared" si="5"/>
        <v>2</v>
      </c>
      <c r="L97" s="13" t="str">
        <f t="shared" si="6"/>
        <v>A</v>
      </c>
      <c r="M97" s="12" t="str">
        <f t="shared" si="7"/>
        <v>Aprobado</v>
      </c>
      <c r="N97" s="15">
        <v>0.4</v>
      </c>
    </row>
    <row r="98" spans="1:14" x14ac:dyDescent="0.25">
      <c r="A98" s="10" t="s">
        <v>39</v>
      </c>
      <c r="B98" s="10" t="s">
        <v>15</v>
      </c>
      <c r="C98" s="10" t="s">
        <v>40</v>
      </c>
      <c r="D98" s="10" t="s">
        <v>81</v>
      </c>
      <c r="E98" s="10">
        <v>1</v>
      </c>
      <c r="F98" s="10">
        <v>1</v>
      </c>
      <c r="G98" s="10">
        <v>0</v>
      </c>
      <c r="H98" s="10">
        <v>1</v>
      </c>
      <c r="I98" s="10">
        <v>2</v>
      </c>
      <c r="J98" s="10">
        <f t="shared" si="4"/>
        <v>1</v>
      </c>
      <c r="K98" s="10">
        <f t="shared" si="5"/>
        <v>1</v>
      </c>
      <c r="L98" s="11" t="str">
        <f t="shared" si="6"/>
        <v>B</v>
      </c>
      <c r="M98" s="10" t="str">
        <f t="shared" si="7"/>
        <v>Desaprobado</v>
      </c>
      <c r="N98" s="14">
        <v>0.5</v>
      </c>
    </row>
    <row r="99" spans="1:14" x14ac:dyDescent="0.25">
      <c r="A99" s="12" t="s">
        <v>41</v>
      </c>
      <c r="B99" s="12" t="s">
        <v>15</v>
      </c>
      <c r="C99" s="12" t="s">
        <v>42</v>
      </c>
      <c r="D99" s="12" t="s">
        <v>81</v>
      </c>
      <c r="E99" s="12">
        <v>3</v>
      </c>
      <c r="F99" s="12">
        <v>3</v>
      </c>
      <c r="G99" s="12">
        <v>3</v>
      </c>
      <c r="H99" s="12">
        <v>3</v>
      </c>
      <c r="I99" s="12">
        <v>0</v>
      </c>
      <c r="J99" s="12">
        <f t="shared" si="4"/>
        <v>2.4</v>
      </c>
      <c r="K99" s="12">
        <f t="shared" si="5"/>
        <v>2</v>
      </c>
      <c r="L99" s="13" t="str">
        <f t="shared" si="6"/>
        <v>A</v>
      </c>
      <c r="M99" s="12" t="str">
        <f t="shared" si="7"/>
        <v>Aprobado</v>
      </c>
      <c r="N99" s="15">
        <v>0.7</v>
      </c>
    </row>
    <row r="100" spans="1:14" x14ac:dyDescent="0.25">
      <c r="A100" s="10" t="s">
        <v>43</v>
      </c>
      <c r="B100" s="10" t="s">
        <v>15</v>
      </c>
      <c r="C100" s="10" t="s">
        <v>44</v>
      </c>
      <c r="D100" s="10" t="s">
        <v>81</v>
      </c>
      <c r="E100" s="10">
        <v>0</v>
      </c>
      <c r="F100" s="10">
        <v>3</v>
      </c>
      <c r="G100" s="10">
        <v>1</v>
      </c>
      <c r="H100" s="10">
        <v>2</v>
      </c>
      <c r="I100" s="10">
        <v>0</v>
      </c>
      <c r="J100" s="10">
        <f t="shared" si="4"/>
        <v>1.2</v>
      </c>
      <c r="K100" s="10">
        <f t="shared" si="5"/>
        <v>1</v>
      </c>
      <c r="L100" s="11" t="str">
        <f t="shared" si="6"/>
        <v>B</v>
      </c>
      <c r="M100" s="10" t="str">
        <f t="shared" si="7"/>
        <v>Desaprobado</v>
      </c>
      <c r="N100" s="14">
        <v>0.7</v>
      </c>
    </row>
    <row r="101" spans="1:14" x14ac:dyDescent="0.25">
      <c r="A101" s="12" t="s">
        <v>45</v>
      </c>
      <c r="B101" s="12" t="s">
        <v>15</v>
      </c>
      <c r="C101" s="12" t="s">
        <v>46</v>
      </c>
      <c r="D101" s="12" t="s">
        <v>81</v>
      </c>
      <c r="E101" s="12">
        <v>2</v>
      </c>
      <c r="F101" s="12">
        <v>1</v>
      </c>
      <c r="G101" s="12">
        <v>2</v>
      </c>
      <c r="H101" s="12">
        <v>2</v>
      </c>
      <c r="I101" s="12">
        <v>0</v>
      </c>
      <c r="J101" s="12">
        <f t="shared" si="4"/>
        <v>1.4</v>
      </c>
      <c r="K101" s="12">
        <f t="shared" si="5"/>
        <v>1</v>
      </c>
      <c r="L101" s="13" t="str">
        <f t="shared" si="6"/>
        <v>B</v>
      </c>
      <c r="M101" s="12" t="str">
        <f t="shared" si="7"/>
        <v>Desaprobado</v>
      </c>
      <c r="N101" s="15">
        <v>0.25</v>
      </c>
    </row>
    <row r="102" spans="1:14" x14ac:dyDescent="0.25">
      <c r="A102" s="10" t="s">
        <v>47</v>
      </c>
      <c r="B102" s="10" t="s">
        <v>15</v>
      </c>
      <c r="C102" s="10" t="s">
        <v>48</v>
      </c>
      <c r="D102" s="10" t="s">
        <v>81</v>
      </c>
      <c r="E102" s="10">
        <v>3</v>
      </c>
      <c r="F102" s="10">
        <v>3</v>
      </c>
      <c r="G102" s="10">
        <v>0</v>
      </c>
      <c r="H102" s="10">
        <v>0</v>
      </c>
      <c r="I102" s="10">
        <v>0</v>
      </c>
      <c r="J102" s="10">
        <f t="shared" si="4"/>
        <v>1.2</v>
      </c>
      <c r="K102" s="10">
        <f t="shared" si="5"/>
        <v>1</v>
      </c>
      <c r="L102" s="11" t="str">
        <f t="shared" si="6"/>
        <v>B</v>
      </c>
      <c r="M102" s="10" t="str">
        <f t="shared" si="7"/>
        <v>Desaprobado</v>
      </c>
      <c r="N102" s="14">
        <v>0.2</v>
      </c>
    </row>
    <row r="103" spans="1:14" x14ac:dyDescent="0.25">
      <c r="A103" s="12" t="s">
        <v>49</v>
      </c>
      <c r="B103" s="12" t="s">
        <v>15</v>
      </c>
      <c r="C103" s="12" t="s">
        <v>50</v>
      </c>
      <c r="D103" s="12" t="s">
        <v>81</v>
      </c>
      <c r="E103" s="12">
        <v>0</v>
      </c>
      <c r="F103" s="12">
        <v>0</v>
      </c>
      <c r="G103" s="12">
        <v>1</v>
      </c>
      <c r="H103" s="12">
        <v>2</v>
      </c>
      <c r="I103" s="12">
        <v>3</v>
      </c>
      <c r="J103" s="12">
        <f t="shared" si="4"/>
        <v>1.2</v>
      </c>
      <c r="K103" s="12">
        <f t="shared" si="5"/>
        <v>1</v>
      </c>
      <c r="L103" s="13" t="str">
        <f t="shared" si="6"/>
        <v>B</v>
      </c>
      <c r="M103" s="12" t="str">
        <f t="shared" si="7"/>
        <v>Desaprobado</v>
      </c>
      <c r="N103" s="15">
        <v>0.65</v>
      </c>
    </row>
    <row r="104" spans="1:14" x14ac:dyDescent="0.25">
      <c r="A104" s="10" t="s">
        <v>51</v>
      </c>
      <c r="B104" s="10" t="s">
        <v>15</v>
      </c>
      <c r="C104" s="10" t="s">
        <v>52</v>
      </c>
      <c r="D104" s="10" t="s">
        <v>81</v>
      </c>
      <c r="E104" s="10">
        <v>3</v>
      </c>
      <c r="F104" s="10">
        <v>0</v>
      </c>
      <c r="G104" s="10">
        <v>3</v>
      </c>
      <c r="H104" s="10">
        <v>3</v>
      </c>
      <c r="I104" s="10">
        <v>1</v>
      </c>
      <c r="J104" s="10">
        <f t="shared" si="4"/>
        <v>2</v>
      </c>
      <c r="K104" s="10">
        <f t="shared" si="5"/>
        <v>2</v>
      </c>
      <c r="L104" s="11" t="str">
        <f t="shared" si="6"/>
        <v>A</v>
      </c>
      <c r="M104" s="10" t="str">
        <f t="shared" si="7"/>
        <v>Aprobado</v>
      </c>
      <c r="N104" s="14">
        <v>0.7</v>
      </c>
    </row>
    <row r="105" spans="1:14" x14ac:dyDescent="0.25">
      <c r="A105" s="12" t="s">
        <v>53</v>
      </c>
      <c r="B105" s="12" t="s">
        <v>15</v>
      </c>
      <c r="C105" s="12" t="s">
        <v>54</v>
      </c>
      <c r="D105" s="12" t="s">
        <v>81</v>
      </c>
      <c r="E105" s="12">
        <v>2</v>
      </c>
      <c r="F105" s="12">
        <v>2</v>
      </c>
      <c r="G105" s="12">
        <v>1</v>
      </c>
      <c r="H105" s="12">
        <v>1</v>
      </c>
      <c r="I105" s="12">
        <v>0</v>
      </c>
      <c r="J105" s="12">
        <f t="shared" si="4"/>
        <v>1.2</v>
      </c>
      <c r="K105" s="12">
        <f t="shared" si="5"/>
        <v>1</v>
      </c>
      <c r="L105" s="13" t="str">
        <f t="shared" si="6"/>
        <v>B</v>
      </c>
      <c r="M105" s="12" t="str">
        <f t="shared" si="7"/>
        <v>Desaprobado</v>
      </c>
      <c r="N105" s="15">
        <v>0.9</v>
      </c>
    </row>
    <row r="106" spans="1:14" x14ac:dyDescent="0.25">
      <c r="A106" s="10" t="s">
        <v>55</v>
      </c>
      <c r="B106" s="10" t="s">
        <v>15</v>
      </c>
      <c r="C106" s="10" t="s">
        <v>56</v>
      </c>
      <c r="D106" s="10" t="s">
        <v>81</v>
      </c>
      <c r="E106" s="10">
        <v>3</v>
      </c>
      <c r="F106" s="10">
        <v>0</v>
      </c>
      <c r="G106" s="10">
        <v>3</v>
      </c>
      <c r="H106" s="10">
        <v>1</v>
      </c>
      <c r="I106" s="10">
        <v>3</v>
      </c>
      <c r="J106" s="10">
        <f t="shared" si="4"/>
        <v>2</v>
      </c>
      <c r="K106" s="10">
        <f t="shared" si="5"/>
        <v>2</v>
      </c>
      <c r="L106" s="11" t="str">
        <f t="shared" si="6"/>
        <v>A</v>
      </c>
      <c r="M106" s="10" t="str">
        <f t="shared" si="7"/>
        <v>Aprobado</v>
      </c>
      <c r="N106" s="14">
        <v>0.7</v>
      </c>
    </row>
    <row r="107" spans="1:14" x14ac:dyDescent="0.25">
      <c r="A107" s="12" t="s">
        <v>57</v>
      </c>
      <c r="B107" s="12" t="s">
        <v>15</v>
      </c>
      <c r="C107" s="12" t="s">
        <v>58</v>
      </c>
      <c r="D107" s="12" t="s">
        <v>81</v>
      </c>
      <c r="E107" s="12">
        <v>2</v>
      </c>
      <c r="F107" s="12">
        <v>3</v>
      </c>
      <c r="G107" s="12">
        <v>0</v>
      </c>
      <c r="H107" s="12">
        <v>0</v>
      </c>
      <c r="I107" s="12">
        <v>3</v>
      </c>
      <c r="J107" s="12">
        <f t="shared" si="4"/>
        <v>1.6</v>
      </c>
      <c r="K107" s="12">
        <f t="shared" si="5"/>
        <v>2</v>
      </c>
      <c r="L107" s="13" t="str">
        <f t="shared" si="6"/>
        <v>A</v>
      </c>
      <c r="M107" s="12" t="str">
        <f t="shared" si="7"/>
        <v>Aprobado</v>
      </c>
      <c r="N107" s="15">
        <v>0.95</v>
      </c>
    </row>
    <row r="108" spans="1:14" x14ac:dyDescent="0.25">
      <c r="A108" s="10" t="s">
        <v>59</v>
      </c>
      <c r="B108" s="10" t="s">
        <v>15</v>
      </c>
      <c r="C108" s="10" t="s">
        <v>60</v>
      </c>
      <c r="D108" s="10" t="s">
        <v>81</v>
      </c>
      <c r="E108" s="10">
        <v>3</v>
      </c>
      <c r="F108" s="10">
        <v>1</v>
      </c>
      <c r="G108" s="10">
        <v>3</v>
      </c>
      <c r="H108" s="10">
        <v>3</v>
      </c>
      <c r="I108" s="10">
        <v>3</v>
      </c>
      <c r="J108" s="10">
        <f t="shared" si="4"/>
        <v>2.6</v>
      </c>
      <c r="K108" s="10">
        <f t="shared" si="5"/>
        <v>3</v>
      </c>
      <c r="L108" s="11" t="str">
        <f t="shared" si="6"/>
        <v>AD</v>
      </c>
      <c r="M108" s="10" t="str">
        <f t="shared" si="7"/>
        <v>Aprobado</v>
      </c>
      <c r="N108" s="14">
        <v>0.6</v>
      </c>
    </row>
    <row r="109" spans="1:14" x14ac:dyDescent="0.25">
      <c r="A109" s="12" t="s">
        <v>61</v>
      </c>
      <c r="B109" s="12" t="s">
        <v>15</v>
      </c>
      <c r="C109" s="12" t="s">
        <v>62</v>
      </c>
      <c r="D109" s="12" t="s">
        <v>81</v>
      </c>
      <c r="E109" s="12">
        <v>2</v>
      </c>
      <c r="F109" s="12">
        <v>3</v>
      </c>
      <c r="G109" s="12">
        <v>3</v>
      </c>
      <c r="H109" s="12">
        <v>0</v>
      </c>
      <c r="I109" s="12">
        <v>2</v>
      </c>
      <c r="J109" s="12">
        <f t="shared" si="4"/>
        <v>2</v>
      </c>
      <c r="K109" s="12">
        <f t="shared" si="5"/>
        <v>2</v>
      </c>
      <c r="L109" s="13" t="str">
        <f t="shared" si="6"/>
        <v>A</v>
      </c>
      <c r="M109" s="12" t="str">
        <f t="shared" si="7"/>
        <v>Aprobado</v>
      </c>
      <c r="N109" s="15">
        <v>0.1</v>
      </c>
    </row>
    <row r="110" spans="1:14" x14ac:dyDescent="0.25">
      <c r="A110" s="10" t="s">
        <v>63</v>
      </c>
      <c r="B110" s="10" t="s">
        <v>15</v>
      </c>
      <c r="C110" s="10" t="s">
        <v>64</v>
      </c>
      <c r="D110" s="10" t="s">
        <v>81</v>
      </c>
      <c r="E110" s="10">
        <v>2</v>
      </c>
      <c r="F110" s="10">
        <v>3</v>
      </c>
      <c r="G110" s="10">
        <v>0</v>
      </c>
      <c r="H110" s="10">
        <v>3</v>
      </c>
      <c r="I110" s="10">
        <v>1</v>
      </c>
      <c r="J110" s="10">
        <f t="shared" si="4"/>
        <v>1.8</v>
      </c>
      <c r="K110" s="10">
        <f t="shared" si="5"/>
        <v>2</v>
      </c>
      <c r="L110" s="11" t="str">
        <f t="shared" si="6"/>
        <v>A</v>
      </c>
      <c r="M110" s="10" t="str">
        <f t="shared" si="7"/>
        <v>Aprobado</v>
      </c>
      <c r="N110" s="14">
        <v>0.9</v>
      </c>
    </row>
    <row r="111" spans="1:14" x14ac:dyDescent="0.25">
      <c r="A111" s="12" t="s">
        <v>65</v>
      </c>
      <c r="B111" s="12" t="s">
        <v>15</v>
      </c>
      <c r="C111" s="12" t="s">
        <v>66</v>
      </c>
      <c r="D111" s="12" t="s">
        <v>81</v>
      </c>
      <c r="E111" s="12">
        <v>1</v>
      </c>
      <c r="F111" s="12">
        <v>3</v>
      </c>
      <c r="G111" s="12">
        <v>1</v>
      </c>
      <c r="H111" s="12">
        <v>2</v>
      </c>
      <c r="I111" s="12">
        <v>2</v>
      </c>
      <c r="J111" s="12">
        <f t="shared" si="4"/>
        <v>1.8</v>
      </c>
      <c r="K111" s="12">
        <f t="shared" si="5"/>
        <v>2</v>
      </c>
      <c r="L111" s="13" t="str">
        <f t="shared" si="6"/>
        <v>A</v>
      </c>
      <c r="M111" s="12" t="str">
        <f t="shared" si="7"/>
        <v>Aprobado</v>
      </c>
      <c r="N111" s="15">
        <v>0.95</v>
      </c>
    </row>
    <row r="112" spans="1:14" x14ac:dyDescent="0.25">
      <c r="A112" s="10" t="s">
        <v>67</v>
      </c>
      <c r="B112" s="10" t="s">
        <v>15</v>
      </c>
      <c r="C112" s="10" t="s">
        <v>68</v>
      </c>
      <c r="D112" s="10" t="s">
        <v>81</v>
      </c>
      <c r="E112" s="10">
        <v>2</v>
      </c>
      <c r="F112" s="10">
        <v>0</v>
      </c>
      <c r="G112" s="10">
        <v>2</v>
      </c>
      <c r="H112" s="10">
        <v>3</v>
      </c>
      <c r="I112" s="10">
        <v>1</v>
      </c>
      <c r="J112" s="10">
        <f t="shared" si="4"/>
        <v>1.6</v>
      </c>
      <c r="K112" s="10">
        <f t="shared" si="5"/>
        <v>2</v>
      </c>
      <c r="L112" s="11" t="str">
        <f t="shared" si="6"/>
        <v>A</v>
      </c>
      <c r="M112" s="10" t="str">
        <f t="shared" si="7"/>
        <v>Aprobado</v>
      </c>
      <c r="N112" s="14">
        <v>0.45</v>
      </c>
    </row>
    <row r="113" spans="1:14" x14ac:dyDescent="0.25">
      <c r="A113" s="12" t="s">
        <v>69</v>
      </c>
      <c r="B113" s="12" t="s">
        <v>15</v>
      </c>
      <c r="C113" s="12" t="s">
        <v>70</v>
      </c>
      <c r="D113" s="12" t="s">
        <v>81</v>
      </c>
      <c r="E113" s="12">
        <v>0</v>
      </c>
      <c r="F113" s="12">
        <v>2</v>
      </c>
      <c r="G113" s="12">
        <v>0</v>
      </c>
      <c r="H113" s="12">
        <v>3</v>
      </c>
      <c r="I113" s="12">
        <v>2</v>
      </c>
      <c r="J113" s="12">
        <f t="shared" si="4"/>
        <v>1.4</v>
      </c>
      <c r="K113" s="12">
        <f t="shared" si="5"/>
        <v>1</v>
      </c>
      <c r="L113" s="13" t="str">
        <f t="shared" si="6"/>
        <v>B</v>
      </c>
      <c r="M113" s="12" t="str">
        <f t="shared" si="7"/>
        <v>Desaprobado</v>
      </c>
      <c r="N113" s="15">
        <v>0.2</v>
      </c>
    </row>
    <row r="114" spans="1:14" x14ac:dyDescent="0.25">
      <c r="A114" s="10" t="s">
        <v>71</v>
      </c>
      <c r="B114" s="10" t="s">
        <v>15</v>
      </c>
      <c r="C114" s="10" t="s">
        <v>72</v>
      </c>
      <c r="D114" s="10" t="s">
        <v>81</v>
      </c>
      <c r="E114" s="10">
        <v>3</v>
      </c>
      <c r="F114" s="10">
        <v>3</v>
      </c>
      <c r="G114" s="10">
        <v>1</v>
      </c>
      <c r="H114" s="10">
        <v>2</v>
      </c>
      <c r="I114" s="10">
        <v>1</v>
      </c>
      <c r="J114" s="10">
        <f t="shared" si="4"/>
        <v>2</v>
      </c>
      <c r="K114" s="10">
        <f t="shared" si="5"/>
        <v>2</v>
      </c>
      <c r="L114" s="11" t="str">
        <f t="shared" si="6"/>
        <v>A</v>
      </c>
      <c r="M114" s="10" t="str">
        <f t="shared" si="7"/>
        <v>Aprobado</v>
      </c>
      <c r="N114" s="14">
        <v>0.95</v>
      </c>
    </row>
    <row r="115" spans="1:14" x14ac:dyDescent="0.25">
      <c r="A115" s="12" t="s">
        <v>73</v>
      </c>
      <c r="B115" s="12" t="s">
        <v>15</v>
      </c>
      <c r="C115" s="12" t="s">
        <v>74</v>
      </c>
      <c r="D115" s="12" t="s">
        <v>81</v>
      </c>
      <c r="E115" s="12">
        <v>3</v>
      </c>
      <c r="F115" s="12">
        <v>3</v>
      </c>
      <c r="G115" s="12">
        <v>3</v>
      </c>
      <c r="H115" s="12">
        <v>3</v>
      </c>
      <c r="I115" s="12">
        <v>1</v>
      </c>
      <c r="J115" s="12">
        <f t="shared" si="4"/>
        <v>2.6</v>
      </c>
      <c r="K115" s="12">
        <f t="shared" si="5"/>
        <v>3</v>
      </c>
      <c r="L115" s="13" t="str">
        <f t="shared" si="6"/>
        <v>AD</v>
      </c>
      <c r="M115" s="12" t="str">
        <f t="shared" si="7"/>
        <v>Aprobado</v>
      </c>
      <c r="N115" s="15">
        <v>0.8</v>
      </c>
    </row>
    <row r="116" spans="1:14" x14ac:dyDescent="0.25">
      <c r="A116" s="10" t="s">
        <v>75</v>
      </c>
      <c r="B116" s="10" t="s">
        <v>15</v>
      </c>
      <c r="C116" s="10" t="s">
        <v>76</v>
      </c>
      <c r="D116" s="10" t="s">
        <v>81</v>
      </c>
      <c r="E116" s="10">
        <v>1</v>
      </c>
      <c r="F116" s="10">
        <v>1</v>
      </c>
      <c r="G116" s="10">
        <v>0</v>
      </c>
      <c r="H116" s="10">
        <v>2</v>
      </c>
      <c r="I116" s="10">
        <v>1</v>
      </c>
      <c r="J116" s="10">
        <f t="shared" si="4"/>
        <v>1</v>
      </c>
      <c r="K116" s="10">
        <f t="shared" si="5"/>
        <v>1</v>
      </c>
      <c r="L116" s="11" t="str">
        <f t="shared" si="6"/>
        <v>B</v>
      </c>
      <c r="M116" s="10" t="str">
        <f t="shared" si="7"/>
        <v>Desaprobado</v>
      </c>
      <c r="N116" s="14">
        <v>0.25</v>
      </c>
    </row>
    <row r="117" spans="1:14" x14ac:dyDescent="0.25">
      <c r="A117" s="12" t="s">
        <v>77</v>
      </c>
      <c r="B117" s="12" t="s">
        <v>15</v>
      </c>
      <c r="C117" s="12" t="s">
        <v>78</v>
      </c>
      <c r="D117" s="12" t="s">
        <v>81</v>
      </c>
      <c r="E117" s="12">
        <v>2</v>
      </c>
      <c r="F117" s="12">
        <v>2</v>
      </c>
      <c r="G117" s="12">
        <v>3</v>
      </c>
      <c r="H117" s="12">
        <v>2</v>
      </c>
      <c r="I117" s="12">
        <v>1</v>
      </c>
      <c r="J117" s="12">
        <f t="shared" si="4"/>
        <v>2</v>
      </c>
      <c r="K117" s="12">
        <f t="shared" si="5"/>
        <v>2</v>
      </c>
      <c r="L117" s="13" t="str">
        <f t="shared" si="6"/>
        <v>A</v>
      </c>
      <c r="M117" s="12" t="str">
        <f t="shared" si="7"/>
        <v>Aprobado</v>
      </c>
      <c r="N117" s="15">
        <v>0.4</v>
      </c>
    </row>
    <row r="118" spans="1:14" x14ac:dyDescent="0.25">
      <c r="A118" s="10" t="s">
        <v>14</v>
      </c>
      <c r="B118" s="10" t="s">
        <v>15</v>
      </c>
      <c r="C118" s="10" t="s">
        <v>16</v>
      </c>
      <c r="D118" s="10" t="s">
        <v>82</v>
      </c>
      <c r="E118" s="10">
        <v>3</v>
      </c>
      <c r="F118" s="10">
        <v>3</v>
      </c>
      <c r="G118" s="10">
        <v>3</v>
      </c>
      <c r="H118" s="10">
        <v>0</v>
      </c>
      <c r="I118" s="10">
        <v>3</v>
      </c>
      <c r="J118" s="10">
        <f t="shared" si="4"/>
        <v>2.4</v>
      </c>
      <c r="K118" s="10">
        <f t="shared" si="5"/>
        <v>2</v>
      </c>
      <c r="L118" s="11" t="str">
        <f t="shared" si="6"/>
        <v>A</v>
      </c>
      <c r="M118" s="10" t="str">
        <f t="shared" si="7"/>
        <v>Aprobado</v>
      </c>
      <c r="N118" s="14">
        <v>0.4</v>
      </c>
    </row>
    <row r="119" spans="1:14" x14ac:dyDescent="0.25">
      <c r="A119" s="12" t="s">
        <v>19</v>
      </c>
      <c r="B119" s="12" t="s">
        <v>15</v>
      </c>
      <c r="C119" s="12" t="s">
        <v>20</v>
      </c>
      <c r="D119" s="12" t="s">
        <v>82</v>
      </c>
      <c r="E119" s="12">
        <v>3</v>
      </c>
      <c r="F119" s="12">
        <v>1</v>
      </c>
      <c r="G119" s="12">
        <v>2</v>
      </c>
      <c r="H119" s="12">
        <v>0</v>
      </c>
      <c r="I119" s="12">
        <v>3</v>
      </c>
      <c r="J119" s="12">
        <f t="shared" si="4"/>
        <v>1.8</v>
      </c>
      <c r="K119" s="12">
        <f t="shared" si="5"/>
        <v>2</v>
      </c>
      <c r="L119" s="13" t="str">
        <f t="shared" si="6"/>
        <v>A</v>
      </c>
      <c r="M119" s="12" t="str">
        <f t="shared" si="7"/>
        <v>Aprobado</v>
      </c>
      <c r="N119" s="15">
        <v>0.5</v>
      </c>
    </row>
    <row r="120" spans="1:14" x14ac:dyDescent="0.25">
      <c r="A120" s="10" t="s">
        <v>22</v>
      </c>
      <c r="B120" s="10" t="s">
        <v>15</v>
      </c>
      <c r="C120" s="10" t="s">
        <v>23</v>
      </c>
      <c r="D120" s="10" t="s">
        <v>82</v>
      </c>
      <c r="E120" s="10">
        <v>1</v>
      </c>
      <c r="F120" s="10">
        <v>0</v>
      </c>
      <c r="G120" s="10">
        <v>0</v>
      </c>
      <c r="H120" s="10">
        <v>3</v>
      </c>
      <c r="I120" s="10">
        <v>3</v>
      </c>
      <c r="J120" s="10">
        <f t="shared" si="4"/>
        <v>1.4</v>
      </c>
      <c r="K120" s="10">
        <f t="shared" si="5"/>
        <v>1</v>
      </c>
      <c r="L120" s="11" t="str">
        <f t="shared" si="6"/>
        <v>B</v>
      </c>
      <c r="M120" s="10" t="str">
        <f t="shared" si="7"/>
        <v>Desaprobado</v>
      </c>
      <c r="N120" s="14">
        <v>0.7</v>
      </c>
    </row>
    <row r="121" spans="1:14" x14ac:dyDescent="0.25">
      <c r="A121" s="12" t="s">
        <v>25</v>
      </c>
      <c r="B121" s="12" t="s">
        <v>15</v>
      </c>
      <c r="C121" s="12" t="s">
        <v>26</v>
      </c>
      <c r="D121" s="12" t="s">
        <v>82</v>
      </c>
      <c r="E121" s="12">
        <v>1</v>
      </c>
      <c r="F121" s="12">
        <v>0</v>
      </c>
      <c r="G121" s="12">
        <v>0</v>
      </c>
      <c r="H121" s="12">
        <v>1</v>
      </c>
      <c r="I121" s="12">
        <v>2</v>
      </c>
      <c r="J121" s="12">
        <f t="shared" si="4"/>
        <v>0.8</v>
      </c>
      <c r="K121" s="12">
        <f t="shared" si="5"/>
        <v>1</v>
      </c>
      <c r="L121" s="13" t="str">
        <f t="shared" si="6"/>
        <v>B</v>
      </c>
      <c r="M121" s="12" t="str">
        <f t="shared" si="7"/>
        <v>Desaprobado</v>
      </c>
      <c r="N121" s="15">
        <v>0.7</v>
      </c>
    </row>
    <row r="122" spans="1:14" x14ac:dyDescent="0.25">
      <c r="A122" s="10" t="s">
        <v>28</v>
      </c>
      <c r="B122" s="10" t="s">
        <v>15</v>
      </c>
      <c r="C122" s="10" t="s">
        <v>29</v>
      </c>
      <c r="D122" s="10" t="s">
        <v>82</v>
      </c>
      <c r="E122" s="10">
        <v>0</v>
      </c>
      <c r="F122" s="10">
        <v>3</v>
      </c>
      <c r="G122" s="10">
        <v>1</v>
      </c>
      <c r="H122" s="10">
        <v>1</v>
      </c>
      <c r="I122" s="10">
        <v>2</v>
      </c>
      <c r="J122" s="10">
        <f t="shared" si="4"/>
        <v>1.4</v>
      </c>
      <c r="K122" s="10">
        <f t="shared" si="5"/>
        <v>1</v>
      </c>
      <c r="L122" s="11" t="str">
        <f t="shared" si="6"/>
        <v>B</v>
      </c>
      <c r="M122" s="10" t="str">
        <f t="shared" si="7"/>
        <v>Desaprobado</v>
      </c>
      <c r="N122" s="14">
        <v>0.25</v>
      </c>
    </row>
    <row r="123" spans="1:14" x14ac:dyDescent="0.25">
      <c r="A123" s="12" t="s">
        <v>31</v>
      </c>
      <c r="B123" s="12" t="s">
        <v>15</v>
      </c>
      <c r="C123" s="12" t="s">
        <v>32</v>
      </c>
      <c r="D123" s="12" t="s">
        <v>82</v>
      </c>
      <c r="E123" s="12">
        <v>3</v>
      </c>
      <c r="F123" s="12">
        <v>0</v>
      </c>
      <c r="G123" s="12">
        <v>1</v>
      </c>
      <c r="H123" s="12">
        <v>3</v>
      </c>
      <c r="I123" s="12">
        <v>1</v>
      </c>
      <c r="J123" s="12">
        <f t="shared" si="4"/>
        <v>1.6</v>
      </c>
      <c r="K123" s="12">
        <f t="shared" si="5"/>
        <v>2</v>
      </c>
      <c r="L123" s="13" t="str">
        <f t="shared" si="6"/>
        <v>A</v>
      </c>
      <c r="M123" s="12" t="str">
        <f t="shared" si="7"/>
        <v>Aprobado</v>
      </c>
      <c r="N123" s="15">
        <v>0.2</v>
      </c>
    </row>
    <row r="124" spans="1:14" x14ac:dyDescent="0.25">
      <c r="A124" s="10" t="s">
        <v>33</v>
      </c>
      <c r="B124" s="10" t="s">
        <v>15</v>
      </c>
      <c r="C124" s="10" t="s">
        <v>34</v>
      </c>
      <c r="D124" s="10" t="s">
        <v>82</v>
      </c>
      <c r="E124" s="10">
        <v>0</v>
      </c>
      <c r="F124" s="10">
        <v>0</v>
      </c>
      <c r="G124" s="10">
        <v>1</v>
      </c>
      <c r="H124" s="10">
        <v>2</v>
      </c>
      <c r="I124" s="10">
        <v>0</v>
      </c>
      <c r="J124" s="10">
        <f t="shared" si="4"/>
        <v>0.6</v>
      </c>
      <c r="K124" s="10">
        <f t="shared" si="5"/>
        <v>1</v>
      </c>
      <c r="L124" s="11" t="str">
        <f t="shared" si="6"/>
        <v>B</v>
      </c>
      <c r="M124" s="10" t="str">
        <f t="shared" si="7"/>
        <v>Desaprobado</v>
      </c>
      <c r="N124" s="14">
        <v>0.65</v>
      </c>
    </row>
    <row r="125" spans="1:14" x14ac:dyDescent="0.25">
      <c r="A125" s="12" t="s">
        <v>35</v>
      </c>
      <c r="B125" s="12" t="s">
        <v>15</v>
      </c>
      <c r="C125" s="12" t="s">
        <v>36</v>
      </c>
      <c r="D125" s="12" t="s">
        <v>82</v>
      </c>
      <c r="E125" s="12">
        <v>3</v>
      </c>
      <c r="F125" s="12">
        <v>0</v>
      </c>
      <c r="G125" s="12">
        <v>1</v>
      </c>
      <c r="H125" s="12">
        <v>1</v>
      </c>
      <c r="I125" s="12">
        <v>0</v>
      </c>
      <c r="J125" s="12">
        <f t="shared" si="4"/>
        <v>1</v>
      </c>
      <c r="K125" s="12">
        <f t="shared" si="5"/>
        <v>1</v>
      </c>
      <c r="L125" s="13" t="str">
        <f t="shared" si="6"/>
        <v>B</v>
      </c>
      <c r="M125" s="12" t="str">
        <f t="shared" si="7"/>
        <v>Desaprobado</v>
      </c>
      <c r="N125" s="15">
        <v>0.7</v>
      </c>
    </row>
    <row r="126" spans="1:14" x14ac:dyDescent="0.25">
      <c r="A126" s="10" t="s">
        <v>37</v>
      </c>
      <c r="B126" s="10" t="s">
        <v>15</v>
      </c>
      <c r="C126" s="10" t="s">
        <v>38</v>
      </c>
      <c r="D126" s="10" t="s">
        <v>82</v>
      </c>
      <c r="E126" s="10">
        <v>0</v>
      </c>
      <c r="F126" s="10">
        <v>2</v>
      </c>
      <c r="G126" s="10">
        <v>3</v>
      </c>
      <c r="H126" s="10">
        <v>3</v>
      </c>
      <c r="I126" s="10">
        <v>2</v>
      </c>
      <c r="J126" s="10">
        <f t="shared" si="4"/>
        <v>2</v>
      </c>
      <c r="K126" s="10">
        <f t="shared" si="5"/>
        <v>2</v>
      </c>
      <c r="L126" s="11" t="str">
        <f t="shared" si="6"/>
        <v>A</v>
      </c>
      <c r="M126" s="10" t="str">
        <f t="shared" si="7"/>
        <v>Aprobado</v>
      </c>
      <c r="N126" s="14">
        <v>0.9</v>
      </c>
    </row>
    <row r="127" spans="1:14" x14ac:dyDescent="0.25">
      <c r="A127" s="12" t="s">
        <v>39</v>
      </c>
      <c r="B127" s="12" t="s">
        <v>15</v>
      </c>
      <c r="C127" s="12" t="s">
        <v>40</v>
      </c>
      <c r="D127" s="12" t="s">
        <v>82</v>
      </c>
      <c r="E127" s="12">
        <v>0</v>
      </c>
      <c r="F127" s="12">
        <v>1</v>
      </c>
      <c r="G127" s="12">
        <v>3</v>
      </c>
      <c r="H127" s="12">
        <v>1</v>
      </c>
      <c r="I127" s="12">
        <v>2</v>
      </c>
      <c r="J127" s="12">
        <f t="shared" si="4"/>
        <v>1.4</v>
      </c>
      <c r="K127" s="12">
        <f t="shared" si="5"/>
        <v>1</v>
      </c>
      <c r="L127" s="13" t="str">
        <f t="shared" si="6"/>
        <v>B</v>
      </c>
      <c r="M127" s="12" t="str">
        <f t="shared" si="7"/>
        <v>Desaprobado</v>
      </c>
      <c r="N127" s="15">
        <v>0.7</v>
      </c>
    </row>
    <row r="128" spans="1:14" x14ac:dyDescent="0.25">
      <c r="A128" s="10" t="s">
        <v>41</v>
      </c>
      <c r="B128" s="10" t="s">
        <v>15</v>
      </c>
      <c r="C128" s="10" t="s">
        <v>42</v>
      </c>
      <c r="D128" s="10" t="s">
        <v>82</v>
      </c>
      <c r="E128" s="10">
        <v>3</v>
      </c>
      <c r="F128" s="10">
        <v>1</v>
      </c>
      <c r="G128" s="10">
        <v>0</v>
      </c>
      <c r="H128" s="10">
        <v>1</v>
      </c>
      <c r="I128" s="10">
        <v>3</v>
      </c>
      <c r="J128" s="10">
        <f t="shared" si="4"/>
        <v>1.6</v>
      </c>
      <c r="K128" s="10">
        <f t="shared" si="5"/>
        <v>2</v>
      </c>
      <c r="L128" s="11" t="str">
        <f t="shared" si="6"/>
        <v>A</v>
      </c>
      <c r="M128" s="10" t="str">
        <f t="shared" si="7"/>
        <v>Aprobado</v>
      </c>
      <c r="N128" s="14">
        <v>0.95</v>
      </c>
    </row>
    <row r="129" spans="1:14" x14ac:dyDescent="0.25">
      <c r="A129" s="12" t="s">
        <v>43</v>
      </c>
      <c r="B129" s="12" t="s">
        <v>15</v>
      </c>
      <c r="C129" s="12" t="s">
        <v>44</v>
      </c>
      <c r="D129" s="12" t="s">
        <v>82</v>
      </c>
      <c r="E129" s="12">
        <v>2</v>
      </c>
      <c r="F129" s="12">
        <v>2</v>
      </c>
      <c r="G129" s="12">
        <v>2</v>
      </c>
      <c r="H129" s="12">
        <v>2</v>
      </c>
      <c r="I129" s="12">
        <v>2</v>
      </c>
      <c r="J129" s="12">
        <f t="shared" si="4"/>
        <v>2</v>
      </c>
      <c r="K129" s="12">
        <f t="shared" si="5"/>
        <v>2</v>
      </c>
      <c r="L129" s="13" t="str">
        <f t="shared" si="6"/>
        <v>A</v>
      </c>
      <c r="M129" s="12" t="str">
        <f t="shared" si="7"/>
        <v>Aprobado</v>
      </c>
      <c r="N129" s="15">
        <v>0.6</v>
      </c>
    </row>
    <row r="130" spans="1:14" x14ac:dyDescent="0.25">
      <c r="A130" s="10" t="s">
        <v>45</v>
      </c>
      <c r="B130" s="10" t="s">
        <v>15</v>
      </c>
      <c r="C130" s="10" t="s">
        <v>46</v>
      </c>
      <c r="D130" s="10" t="s">
        <v>82</v>
      </c>
      <c r="E130" s="10">
        <v>1</v>
      </c>
      <c r="F130" s="10">
        <v>3</v>
      </c>
      <c r="G130" s="10">
        <v>2</v>
      </c>
      <c r="H130" s="10">
        <v>2</v>
      </c>
      <c r="I130" s="10">
        <v>2</v>
      </c>
      <c r="J130" s="10">
        <f t="shared" si="4"/>
        <v>2</v>
      </c>
      <c r="K130" s="10">
        <f t="shared" si="5"/>
        <v>2</v>
      </c>
      <c r="L130" s="11" t="str">
        <f t="shared" si="6"/>
        <v>A</v>
      </c>
      <c r="M130" s="10" t="str">
        <f t="shared" si="7"/>
        <v>Aprobado</v>
      </c>
      <c r="N130" s="14">
        <v>0.1</v>
      </c>
    </row>
    <row r="131" spans="1:14" x14ac:dyDescent="0.25">
      <c r="A131" s="12" t="s">
        <v>47</v>
      </c>
      <c r="B131" s="12" t="s">
        <v>15</v>
      </c>
      <c r="C131" s="12" t="s">
        <v>48</v>
      </c>
      <c r="D131" s="12" t="s">
        <v>82</v>
      </c>
      <c r="E131" s="12">
        <v>3</v>
      </c>
      <c r="F131" s="12">
        <v>0</v>
      </c>
      <c r="G131" s="12">
        <v>2</v>
      </c>
      <c r="H131" s="12">
        <v>2</v>
      </c>
      <c r="I131" s="12">
        <v>2</v>
      </c>
      <c r="J131" s="12">
        <f t="shared" ref="J131:J194" si="8">+AVERAGE(E131:I131)</f>
        <v>1.8</v>
      </c>
      <c r="K131" s="12">
        <f t="shared" ref="K131:K194" si="9">+ROUND(J131,0)</f>
        <v>2</v>
      </c>
      <c r="L131" s="13" t="str">
        <f t="shared" ref="L131:L194" si="10">+_xlfn.XLOOKUP(K131,$R$3:$R$6,$S$3:$S$6)</f>
        <v>A</v>
      </c>
      <c r="M131" s="12" t="str">
        <f t="shared" ref="M131:M194" si="11">+IF(OR(L131="AD",L131="A"),"Aprobado","Desaprobado")</f>
        <v>Aprobado</v>
      </c>
      <c r="N131" s="15">
        <v>0.9</v>
      </c>
    </row>
    <row r="132" spans="1:14" x14ac:dyDescent="0.25">
      <c r="A132" s="10" t="s">
        <v>49</v>
      </c>
      <c r="B132" s="10" t="s">
        <v>15</v>
      </c>
      <c r="C132" s="10" t="s">
        <v>50</v>
      </c>
      <c r="D132" s="10" t="s">
        <v>82</v>
      </c>
      <c r="E132" s="10">
        <v>0</v>
      </c>
      <c r="F132" s="10">
        <v>1</v>
      </c>
      <c r="G132" s="10">
        <v>1</v>
      </c>
      <c r="H132" s="10">
        <v>0</v>
      </c>
      <c r="I132" s="10">
        <v>1</v>
      </c>
      <c r="J132" s="10">
        <f t="shared" si="8"/>
        <v>0.6</v>
      </c>
      <c r="K132" s="10">
        <f t="shared" si="9"/>
        <v>1</v>
      </c>
      <c r="L132" s="11" t="str">
        <f t="shared" si="10"/>
        <v>B</v>
      </c>
      <c r="M132" s="10" t="str">
        <f t="shared" si="11"/>
        <v>Desaprobado</v>
      </c>
      <c r="N132" s="14">
        <v>0.95</v>
      </c>
    </row>
    <row r="133" spans="1:14" x14ac:dyDescent="0.25">
      <c r="A133" s="12" t="s">
        <v>51</v>
      </c>
      <c r="B133" s="12" t="s">
        <v>15</v>
      </c>
      <c r="C133" s="12" t="s">
        <v>52</v>
      </c>
      <c r="D133" s="12" t="s">
        <v>82</v>
      </c>
      <c r="E133" s="12">
        <v>1</v>
      </c>
      <c r="F133" s="12">
        <v>2</v>
      </c>
      <c r="G133" s="12">
        <v>1</v>
      </c>
      <c r="H133" s="12">
        <v>1</v>
      </c>
      <c r="I133" s="12">
        <v>0</v>
      </c>
      <c r="J133" s="12">
        <f t="shared" si="8"/>
        <v>1</v>
      </c>
      <c r="K133" s="12">
        <f t="shared" si="9"/>
        <v>1</v>
      </c>
      <c r="L133" s="13" t="str">
        <f t="shared" si="10"/>
        <v>B</v>
      </c>
      <c r="M133" s="12" t="str">
        <f t="shared" si="11"/>
        <v>Desaprobado</v>
      </c>
      <c r="N133" s="15">
        <v>0.8</v>
      </c>
    </row>
    <row r="134" spans="1:14" x14ac:dyDescent="0.25">
      <c r="A134" s="10" t="s">
        <v>53</v>
      </c>
      <c r="B134" s="10" t="s">
        <v>15</v>
      </c>
      <c r="C134" s="10" t="s">
        <v>54</v>
      </c>
      <c r="D134" s="10" t="s">
        <v>82</v>
      </c>
      <c r="E134" s="10">
        <v>3</v>
      </c>
      <c r="F134" s="10">
        <v>1</v>
      </c>
      <c r="G134" s="10">
        <v>2</v>
      </c>
      <c r="H134" s="10">
        <v>2</v>
      </c>
      <c r="I134" s="10">
        <v>3</v>
      </c>
      <c r="J134" s="10">
        <f t="shared" si="8"/>
        <v>2.2000000000000002</v>
      </c>
      <c r="K134" s="10">
        <f t="shared" si="9"/>
        <v>2</v>
      </c>
      <c r="L134" s="11" t="str">
        <f t="shared" si="10"/>
        <v>A</v>
      </c>
      <c r="M134" s="10" t="str">
        <f t="shared" si="11"/>
        <v>Aprobado</v>
      </c>
      <c r="N134" s="14">
        <v>0.2</v>
      </c>
    </row>
    <row r="135" spans="1:14" x14ac:dyDescent="0.25">
      <c r="A135" s="12" t="s">
        <v>55</v>
      </c>
      <c r="B135" s="12" t="s">
        <v>15</v>
      </c>
      <c r="C135" s="12" t="s">
        <v>56</v>
      </c>
      <c r="D135" s="12" t="s">
        <v>82</v>
      </c>
      <c r="E135" s="12">
        <v>1</v>
      </c>
      <c r="F135" s="12">
        <v>1</v>
      </c>
      <c r="G135" s="12">
        <v>1</v>
      </c>
      <c r="H135" s="12">
        <v>2</v>
      </c>
      <c r="I135" s="12">
        <v>2</v>
      </c>
      <c r="J135" s="12">
        <f t="shared" si="8"/>
        <v>1.4</v>
      </c>
      <c r="K135" s="12">
        <f t="shared" si="9"/>
        <v>1</v>
      </c>
      <c r="L135" s="13" t="str">
        <f t="shared" si="10"/>
        <v>B</v>
      </c>
      <c r="M135" s="12" t="str">
        <f t="shared" si="11"/>
        <v>Desaprobado</v>
      </c>
      <c r="N135" s="15">
        <v>0.95</v>
      </c>
    </row>
    <row r="136" spans="1:14" x14ac:dyDescent="0.25">
      <c r="A136" s="10" t="s">
        <v>57</v>
      </c>
      <c r="B136" s="10" t="s">
        <v>15</v>
      </c>
      <c r="C136" s="10" t="s">
        <v>58</v>
      </c>
      <c r="D136" s="10" t="s">
        <v>82</v>
      </c>
      <c r="E136" s="10">
        <v>1</v>
      </c>
      <c r="F136" s="10">
        <v>0</v>
      </c>
      <c r="G136" s="10">
        <v>3</v>
      </c>
      <c r="H136" s="10">
        <v>1</v>
      </c>
      <c r="I136" s="10">
        <v>0</v>
      </c>
      <c r="J136" s="10">
        <f t="shared" si="8"/>
        <v>1</v>
      </c>
      <c r="K136" s="10">
        <f t="shared" si="9"/>
        <v>1</v>
      </c>
      <c r="L136" s="11" t="str">
        <f t="shared" si="10"/>
        <v>B</v>
      </c>
      <c r="M136" s="10" t="str">
        <f t="shared" si="11"/>
        <v>Desaprobado</v>
      </c>
      <c r="N136" s="14">
        <v>0.8</v>
      </c>
    </row>
    <row r="137" spans="1:14" x14ac:dyDescent="0.25">
      <c r="A137" s="12" t="s">
        <v>59</v>
      </c>
      <c r="B137" s="12" t="s">
        <v>15</v>
      </c>
      <c r="C137" s="12" t="s">
        <v>60</v>
      </c>
      <c r="D137" s="12" t="s">
        <v>82</v>
      </c>
      <c r="E137" s="12">
        <v>1</v>
      </c>
      <c r="F137" s="12">
        <v>0</v>
      </c>
      <c r="G137" s="12">
        <v>3</v>
      </c>
      <c r="H137" s="12">
        <v>2</v>
      </c>
      <c r="I137" s="12">
        <v>3</v>
      </c>
      <c r="J137" s="12">
        <f t="shared" si="8"/>
        <v>1.8</v>
      </c>
      <c r="K137" s="12">
        <f t="shared" si="9"/>
        <v>2</v>
      </c>
      <c r="L137" s="13" t="str">
        <f t="shared" si="10"/>
        <v>A</v>
      </c>
      <c r="M137" s="12" t="str">
        <f t="shared" si="11"/>
        <v>Aprobado</v>
      </c>
      <c r="N137" s="15">
        <v>0.25</v>
      </c>
    </row>
    <row r="138" spans="1:14" x14ac:dyDescent="0.25">
      <c r="A138" s="10" t="s">
        <v>61</v>
      </c>
      <c r="B138" s="10" t="s">
        <v>15</v>
      </c>
      <c r="C138" s="10" t="s">
        <v>62</v>
      </c>
      <c r="D138" s="10" t="s">
        <v>82</v>
      </c>
      <c r="E138" s="10">
        <v>0</v>
      </c>
      <c r="F138" s="10">
        <v>2</v>
      </c>
      <c r="G138" s="10">
        <v>3</v>
      </c>
      <c r="H138" s="10">
        <v>0</v>
      </c>
      <c r="I138" s="10">
        <v>3</v>
      </c>
      <c r="J138" s="10">
        <f t="shared" si="8"/>
        <v>1.6</v>
      </c>
      <c r="K138" s="10">
        <f t="shared" si="9"/>
        <v>2</v>
      </c>
      <c r="L138" s="11" t="str">
        <f t="shared" si="10"/>
        <v>A</v>
      </c>
      <c r="M138" s="10" t="str">
        <f t="shared" si="11"/>
        <v>Aprobado</v>
      </c>
      <c r="N138" s="14">
        <v>0.4</v>
      </c>
    </row>
    <row r="139" spans="1:14" x14ac:dyDescent="0.25">
      <c r="A139" s="12" t="s">
        <v>63</v>
      </c>
      <c r="B139" s="12" t="s">
        <v>15</v>
      </c>
      <c r="C139" s="12" t="s">
        <v>64</v>
      </c>
      <c r="D139" s="12" t="s">
        <v>82</v>
      </c>
      <c r="E139" s="12">
        <v>2</v>
      </c>
      <c r="F139" s="12">
        <v>1</v>
      </c>
      <c r="G139" s="12">
        <v>1</v>
      </c>
      <c r="H139" s="12">
        <v>1</v>
      </c>
      <c r="I139" s="12">
        <v>2</v>
      </c>
      <c r="J139" s="12">
        <f t="shared" si="8"/>
        <v>1.4</v>
      </c>
      <c r="K139" s="12">
        <f t="shared" si="9"/>
        <v>1</v>
      </c>
      <c r="L139" s="13" t="str">
        <f t="shared" si="10"/>
        <v>B</v>
      </c>
      <c r="M139" s="12" t="str">
        <f t="shared" si="11"/>
        <v>Desaprobado</v>
      </c>
      <c r="N139" s="15">
        <v>0.4</v>
      </c>
    </row>
    <row r="140" spans="1:14" x14ac:dyDescent="0.25">
      <c r="A140" s="10" t="s">
        <v>65</v>
      </c>
      <c r="B140" s="10" t="s">
        <v>15</v>
      </c>
      <c r="C140" s="10" t="s">
        <v>66</v>
      </c>
      <c r="D140" s="10" t="s">
        <v>82</v>
      </c>
      <c r="E140" s="10">
        <v>3</v>
      </c>
      <c r="F140" s="10">
        <v>3</v>
      </c>
      <c r="G140" s="10">
        <v>0</v>
      </c>
      <c r="H140" s="10">
        <v>0</v>
      </c>
      <c r="I140" s="10">
        <v>1</v>
      </c>
      <c r="J140" s="10">
        <f t="shared" si="8"/>
        <v>1.4</v>
      </c>
      <c r="K140" s="10">
        <f t="shared" si="9"/>
        <v>1</v>
      </c>
      <c r="L140" s="11" t="str">
        <f t="shared" si="10"/>
        <v>B</v>
      </c>
      <c r="M140" s="10" t="str">
        <f t="shared" si="11"/>
        <v>Desaprobado</v>
      </c>
      <c r="N140" s="14">
        <v>0.5</v>
      </c>
    </row>
    <row r="141" spans="1:14" x14ac:dyDescent="0.25">
      <c r="A141" s="12" t="s">
        <v>67</v>
      </c>
      <c r="B141" s="12" t="s">
        <v>15</v>
      </c>
      <c r="C141" s="12" t="s">
        <v>68</v>
      </c>
      <c r="D141" s="12" t="s">
        <v>82</v>
      </c>
      <c r="E141" s="12">
        <v>3</v>
      </c>
      <c r="F141" s="12">
        <v>0</v>
      </c>
      <c r="G141" s="12">
        <v>2</v>
      </c>
      <c r="H141" s="12">
        <v>2</v>
      </c>
      <c r="I141" s="12">
        <v>2</v>
      </c>
      <c r="J141" s="12">
        <f t="shared" si="8"/>
        <v>1.8</v>
      </c>
      <c r="K141" s="12">
        <f t="shared" si="9"/>
        <v>2</v>
      </c>
      <c r="L141" s="13" t="str">
        <f t="shared" si="10"/>
        <v>A</v>
      </c>
      <c r="M141" s="12" t="str">
        <f t="shared" si="11"/>
        <v>Aprobado</v>
      </c>
      <c r="N141" s="15">
        <v>0.7</v>
      </c>
    </row>
    <row r="142" spans="1:14" x14ac:dyDescent="0.25">
      <c r="A142" s="10" t="s">
        <v>69</v>
      </c>
      <c r="B142" s="10" t="s">
        <v>15</v>
      </c>
      <c r="C142" s="10" t="s">
        <v>70</v>
      </c>
      <c r="D142" s="10" t="s">
        <v>82</v>
      </c>
      <c r="E142" s="10">
        <v>3</v>
      </c>
      <c r="F142" s="10">
        <v>3</v>
      </c>
      <c r="G142" s="10">
        <v>3</v>
      </c>
      <c r="H142" s="10">
        <v>3</v>
      </c>
      <c r="I142" s="10">
        <v>0</v>
      </c>
      <c r="J142" s="10">
        <f t="shared" si="8"/>
        <v>2.4</v>
      </c>
      <c r="K142" s="10">
        <f t="shared" si="9"/>
        <v>2</v>
      </c>
      <c r="L142" s="11" t="str">
        <f t="shared" si="10"/>
        <v>A</v>
      </c>
      <c r="M142" s="10" t="str">
        <f t="shared" si="11"/>
        <v>Aprobado</v>
      </c>
      <c r="N142" s="14">
        <v>0.7</v>
      </c>
    </row>
    <row r="143" spans="1:14" x14ac:dyDescent="0.25">
      <c r="A143" s="12" t="s">
        <v>71</v>
      </c>
      <c r="B143" s="12" t="s">
        <v>15</v>
      </c>
      <c r="C143" s="12" t="s">
        <v>72</v>
      </c>
      <c r="D143" s="12" t="s">
        <v>82</v>
      </c>
      <c r="E143" s="12">
        <v>1</v>
      </c>
      <c r="F143" s="12">
        <v>1</v>
      </c>
      <c r="G143" s="12">
        <v>1</v>
      </c>
      <c r="H143" s="12">
        <v>3</v>
      </c>
      <c r="I143" s="12">
        <v>2</v>
      </c>
      <c r="J143" s="12">
        <f t="shared" si="8"/>
        <v>1.6</v>
      </c>
      <c r="K143" s="12">
        <f t="shared" si="9"/>
        <v>2</v>
      </c>
      <c r="L143" s="13" t="str">
        <f t="shared" si="10"/>
        <v>A</v>
      </c>
      <c r="M143" s="12" t="str">
        <f t="shared" si="11"/>
        <v>Aprobado</v>
      </c>
      <c r="N143" s="15">
        <v>0.25</v>
      </c>
    </row>
    <row r="144" spans="1:14" x14ac:dyDescent="0.25">
      <c r="A144" s="10" t="s">
        <v>73</v>
      </c>
      <c r="B144" s="10" t="s">
        <v>15</v>
      </c>
      <c r="C144" s="10" t="s">
        <v>74</v>
      </c>
      <c r="D144" s="10" t="s">
        <v>82</v>
      </c>
      <c r="E144" s="10">
        <v>2</v>
      </c>
      <c r="F144" s="10">
        <v>0</v>
      </c>
      <c r="G144" s="10">
        <v>0</v>
      </c>
      <c r="H144" s="10">
        <v>3</v>
      </c>
      <c r="I144" s="10">
        <v>1</v>
      </c>
      <c r="J144" s="10">
        <f t="shared" si="8"/>
        <v>1.2</v>
      </c>
      <c r="K144" s="10">
        <f t="shared" si="9"/>
        <v>1</v>
      </c>
      <c r="L144" s="11" t="str">
        <f t="shared" si="10"/>
        <v>B</v>
      </c>
      <c r="M144" s="10" t="str">
        <f t="shared" si="11"/>
        <v>Desaprobado</v>
      </c>
      <c r="N144" s="14">
        <v>0.2</v>
      </c>
    </row>
    <row r="145" spans="1:14" x14ac:dyDescent="0.25">
      <c r="A145" s="12" t="s">
        <v>75</v>
      </c>
      <c r="B145" s="12" t="s">
        <v>15</v>
      </c>
      <c r="C145" s="12" t="s">
        <v>76</v>
      </c>
      <c r="D145" s="12" t="s">
        <v>82</v>
      </c>
      <c r="E145" s="12">
        <v>1</v>
      </c>
      <c r="F145" s="12">
        <v>3</v>
      </c>
      <c r="G145" s="12">
        <v>1</v>
      </c>
      <c r="H145" s="12">
        <v>3</v>
      </c>
      <c r="I145" s="12">
        <v>0</v>
      </c>
      <c r="J145" s="12">
        <f t="shared" si="8"/>
        <v>1.6</v>
      </c>
      <c r="K145" s="12">
        <f t="shared" si="9"/>
        <v>2</v>
      </c>
      <c r="L145" s="13" t="str">
        <f t="shared" si="10"/>
        <v>A</v>
      </c>
      <c r="M145" s="12" t="str">
        <f t="shared" si="11"/>
        <v>Aprobado</v>
      </c>
      <c r="N145" s="15">
        <v>0.65</v>
      </c>
    </row>
    <row r="146" spans="1:14" x14ac:dyDescent="0.25">
      <c r="A146" s="10" t="s">
        <v>77</v>
      </c>
      <c r="B146" s="10" t="s">
        <v>15</v>
      </c>
      <c r="C146" s="10" t="s">
        <v>78</v>
      </c>
      <c r="D146" s="10" t="s">
        <v>82</v>
      </c>
      <c r="E146" s="10">
        <v>3</v>
      </c>
      <c r="F146" s="10">
        <v>1</v>
      </c>
      <c r="G146" s="10">
        <v>2</v>
      </c>
      <c r="H146" s="10">
        <v>0</v>
      </c>
      <c r="I146" s="10">
        <v>0</v>
      </c>
      <c r="J146" s="10">
        <f t="shared" si="8"/>
        <v>1.2</v>
      </c>
      <c r="K146" s="10">
        <f t="shared" si="9"/>
        <v>1</v>
      </c>
      <c r="L146" s="11" t="str">
        <f t="shared" si="10"/>
        <v>B</v>
      </c>
      <c r="M146" s="10" t="str">
        <f t="shared" si="11"/>
        <v>Desaprobado</v>
      </c>
      <c r="N146" s="14">
        <v>0.7</v>
      </c>
    </row>
    <row r="147" spans="1:14" x14ac:dyDescent="0.25">
      <c r="A147" s="12" t="s">
        <v>14</v>
      </c>
      <c r="B147" s="12" t="s">
        <v>15</v>
      </c>
      <c r="C147" s="12" t="s">
        <v>16</v>
      </c>
      <c r="D147" s="12" t="s">
        <v>83</v>
      </c>
      <c r="E147" s="12">
        <v>1</v>
      </c>
      <c r="F147" s="12">
        <v>3</v>
      </c>
      <c r="G147" s="12">
        <v>0</v>
      </c>
      <c r="H147" s="12">
        <v>1</v>
      </c>
      <c r="I147" s="12">
        <v>2</v>
      </c>
      <c r="J147" s="12">
        <f t="shared" si="8"/>
        <v>1.4</v>
      </c>
      <c r="K147" s="12">
        <f t="shared" si="9"/>
        <v>1</v>
      </c>
      <c r="L147" s="13" t="str">
        <f t="shared" si="10"/>
        <v>B</v>
      </c>
      <c r="M147" s="12" t="str">
        <f t="shared" si="11"/>
        <v>Desaprobado</v>
      </c>
      <c r="N147" s="15">
        <v>0.9</v>
      </c>
    </row>
    <row r="148" spans="1:14" x14ac:dyDescent="0.25">
      <c r="A148" s="10" t="s">
        <v>19</v>
      </c>
      <c r="B148" s="10" t="s">
        <v>15</v>
      </c>
      <c r="C148" s="10" t="s">
        <v>20</v>
      </c>
      <c r="D148" s="10" t="s">
        <v>83</v>
      </c>
      <c r="E148" s="10">
        <v>0</v>
      </c>
      <c r="F148" s="10">
        <v>0</v>
      </c>
      <c r="G148" s="10">
        <v>0</v>
      </c>
      <c r="H148" s="10">
        <v>2</v>
      </c>
      <c r="I148" s="10">
        <v>0</v>
      </c>
      <c r="J148" s="10">
        <f t="shared" si="8"/>
        <v>0.4</v>
      </c>
      <c r="K148" s="10">
        <f t="shared" si="9"/>
        <v>0</v>
      </c>
      <c r="L148" s="11" t="str">
        <f t="shared" si="10"/>
        <v>C</v>
      </c>
      <c r="M148" s="10" t="str">
        <f t="shared" si="11"/>
        <v>Desaprobado</v>
      </c>
      <c r="N148" s="14">
        <v>0.7</v>
      </c>
    </row>
    <row r="149" spans="1:14" x14ac:dyDescent="0.25">
      <c r="A149" s="12" t="s">
        <v>22</v>
      </c>
      <c r="B149" s="12" t="s">
        <v>15</v>
      </c>
      <c r="C149" s="12" t="s">
        <v>23</v>
      </c>
      <c r="D149" s="12" t="s">
        <v>83</v>
      </c>
      <c r="E149" s="12">
        <v>1</v>
      </c>
      <c r="F149" s="12">
        <v>1</v>
      </c>
      <c r="G149" s="12">
        <v>2</v>
      </c>
      <c r="H149" s="12">
        <v>1</v>
      </c>
      <c r="I149" s="12">
        <v>0</v>
      </c>
      <c r="J149" s="12">
        <f t="shared" si="8"/>
        <v>1</v>
      </c>
      <c r="K149" s="12">
        <f t="shared" si="9"/>
        <v>1</v>
      </c>
      <c r="L149" s="13" t="str">
        <f t="shared" si="10"/>
        <v>B</v>
      </c>
      <c r="M149" s="12" t="str">
        <f t="shared" si="11"/>
        <v>Desaprobado</v>
      </c>
      <c r="N149" s="15">
        <v>0.95</v>
      </c>
    </row>
    <row r="150" spans="1:14" x14ac:dyDescent="0.25">
      <c r="A150" s="10" t="s">
        <v>25</v>
      </c>
      <c r="B150" s="10" t="s">
        <v>15</v>
      </c>
      <c r="C150" s="10" t="s">
        <v>26</v>
      </c>
      <c r="D150" s="10" t="s">
        <v>83</v>
      </c>
      <c r="E150" s="10">
        <v>3</v>
      </c>
      <c r="F150" s="10">
        <v>0</v>
      </c>
      <c r="G150" s="10">
        <v>3</v>
      </c>
      <c r="H150" s="10">
        <v>3</v>
      </c>
      <c r="I150" s="10">
        <v>1</v>
      </c>
      <c r="J150" s="10">
        <f t="shared" si="8"/>
        <v>2</v>
      </c>
      <c r="K150" s="10">
        <f t="shared" si="9"/>
        <v>2</v>
      </c>
      <c r="L150" s="11" t="str">
        <f t="shared" si="10"/>
        <v>A</v>
      </c>
      <c r="M150" s="10" t="str">
        <f t="shared" si="11"/>
        <v>Aprobado</v>
      </c>
      <c r="N150" s="14">
        <v>0.6</v>
      </c>
    </row>
    <row r="151" spans="1:14" x14ac:dyDescent="0.25">
      <c r="A151" s="12" t="s">
        <v>28</v>
      </c>
      <c r="B151" s="12" t="s">
        <v>15</v>
      </c>
      <c r="C151" s="12" t="s">
        <v>29</v>
      </c>
      <c r="D151" s="12" t="s">
        <v>83</v>
      </c>
      <c r="E151" s="12">
        <v>0</v>
      </c>
      <c r="F151" s="12">
        <v>2</v>
      </c>
      <c r="G151" s="12">
        <v>3</v>
      </c>
      <c r="H151" s="12">
        <v>0</v>
      </c>
      <c r="I151" s="12">
        <v>2</v>
      </c>
      <c r="J151" s="12">
        <f t="shared" si="8"/>
        <v>1.4</v>
      </c>
      <c r="K151" s="12">
        <f t="shared" si="9"/>
        <v>1</v>
      </c>
      <c r="L151" s="13" t="str">
        <f t="shared" si="10"/>
        <v>B</v>
      </c>
      <c r="M151" s="12" t="str">
        <f t="shared" si="11"/>
        <v>Desaprobado</v>
      </c>
      <c r="N151" s="15">
        <v>0.1</v>
      </c>
    </row>
    <row r="152" spans="1:14" x14ac:dyDescent="0.25">
      <c r="A152" s="10" t="s">
        <v>31</v>
      </c>
      <c r="B152" s="10" t="s">
        <v>15</v>
      </c>
      <c r="C152" s="10" t="s">
        <v>32</v>
      </c>
      <c r="D152" s="10" t="s">
        <v>83</v>
      </c>
      <c r="E152" s="10">
        <v>1</v>
      </c>
      <c r="F152" s="10">
        <v>2</v>
      </c>
      <c r="G152" s="10">
        <v>2</v>
      </c>
      <c r="H152" s="10">
        <v>2</v>
      </c>
      <c r="I152" s="10">
        <v>2</v>
      </c>
      <c r="J152" s="10">
        <f t="shared" si="8"/>
        <v>1.8</v>
      </c>
      <c r="K152" s="10">
        <f t="shared" si="9"/>
        <v>2</v>
      </c>
      <c r="L152" s="11" t="str">
        <f t="shared" si="10"/>
        <v>A</v>
      </c>
      <c r="M152" s="10" t="str">
        <f t="shared" si="11"/>
        <v>Aprobado</v>
      </c>
      <c r="N152" s="14">
        <v>0.9</v>
      </c>
    </row>
    <row r="153" spans="1:14" x14ac:dyDescent="0.25">
      <c r="A153" s="12" t="s">
        <v>33</v>
      </c>
      <c r="B153" s="12" t="s">
        <v>15</v>
      </c>
      <c r="C153" s="12" t="s">
        <v>34</v>
      </c>
      <c r="D153" s="12" t="s">
        <v>83</v>
      </c>
      <c r="E153" s="12">
        <v>0</v>
      </c>
      <c r="F153" s="12">
        <v>3</v>
      </c>
      <c r="G153" s="12">
        <v>3</v>
      </c>
      <c r="H153" s="12">
        <v>0</v>
      </c>
      <c r="I153" s="12">
        <v>0</v>
      </c>
      <c r="J153" s="12">
        <f t="shared" si="8"/>
        <v>1.2</v>
      </c>
      <c r="K153" s="12">
        <f t="shared" si="9"/>
        <v>1</v>
      </c>
      <c r="L153" s="13" t="str">
        <f t="shared" si="10"/>
        <v>B</v>
      </c>
      <c r="M153" s="12" t="str">
        <f t="shared" si="11"/>
        <v>Desaprobado</v>
      </c>
      <c r="N153" s="15">
        <v>0.95</v>
      </c>
    </row>
    <row r="154" spans="1:14" x14ac:dyDescent="0.25">
      <c r="A154" s="10" t="s">
        <v>35</v>
      </c>
      <c r="B154" s="10" t="s">
        <v>15</v>
      </c>
      <c r="C154" s="10" t="s">
        <v>36</v>
      </c>
      <c r="D154" s="10" t="s">
        <v>83</v>
      </c>
      <c r="E154" s="10">
        <v>1</v>
      </c>
      <c r="F154" s="10">
        <v>2</v>
      </c>
      <c r="G154" s="10">
        <v>2</v>
      </c>
      <c r="H154" s="10">
        <v>2</v>
      </c>
      <c r="I154" s="10">
        <v>2</v>
      </c>
      <c r="J154" s="10">
        <f t="shared" si="8"/>
        <v>1.8</v>
      </c>
      <c r="K154" s="10">
        <f t="shared" si="9"/>
        <v>2</v>
      </c>
      <c r="L154" s="11" t="str">
        <f t="shared" si="10"/>
        <v>A</v>
      </c>
      <c r="M154" s="10" t="str">
        <f t="shared" si="11"/>
        <v>Aprobado</v>
      </c>
      <c r="N154" s="14">
        <v>0.6</v>
      </c>
    </row>
    <row r="155" spans="1:14" x14ac:dyDescent="0.25">
      <c r="A155" s="12" t="s">
        <v>37</v>
      </c>
      <c r="B155" s="12" t="s">
        <v>15</v>
      </c>
      <c r="C155" s="12" t="s">
        <v>38</v>
      </c>
      <c r="D155" s="12" t="s">
        <v>83</v>
      </c>
      <c r="E155" s="12">
        <v>1</v>
      </c>
      <c r="F155" s="12">
        <v>2</v>
      </c>
      <c r="G155" s="12">
        <v>2</v>
      </c>
      <c r="H155" s="12">
        <v>0</v>
      </c>
      <c r="I155" s="12">
        <v>0</v>
      </c>
      <c r="J155" s="12">
        <f t="shared" si="8"/>
        <v>1</v>
      </c>
      <c r="K155" s="12">
        <f t="shared" si="9"/>
        <v>1</v>
      </c>
      <c r="L155" s="13" t="str">
        <f t="shared" si="10"/>
        <v>B</v>
      </c>
      <c r="M155" s="12" t="str">
        <f t="shared" si="11"/>
        <v>Desaprobado</v>
      </c>
      <c r="N155" s="15">
        <v>0.2</v>
      </c>
    </row>
    <row r="156" spans="1:14" x14ac:dyDescent="0.25">
      <c r="A156" s="10" t="s">
        <v>39</v>
      </c>
      <c r="B156" s="10" t="s">
        <v>15</v>
      </c>
      <c r="C156" s="10" t="s">
        <v>40</v>
      </c>
      <c r="D156" s="10" t="s">
        <v>83</v>
      </c>
      <c r="E156" s="10">
        <v>3</v>
      </c>
      <c r="F156" s="10">
        <v>3</v>
      </c>
      <c r="G156" s="10">
        <v>2</v>
      </c>
      <c r="H156" s="10">
        <v>0</v>
      </c>
      <c r="I156" s="10">
        <v>1</v>
      </c>
      <c r="J156" s="10">
        <f t="shared" si="8"/>
        <v>1.8</v>
      </c>
      <c r="K156" s="10">
        <f t="shared" si="9"/>
        <v>2</v>
      </c>
      <c r="L156" s="11" t="str">
        <f t="shared" si="10"/>
        <v>A</v>
      </c>
      <c r="M156" s="10" t="str">
        <f t="shared" si="11"/>
        <v>Aprobado</v>
      </c>
      <c r="N156" s="14">
        <v>0.95</v>
      </c>
    </row>
    <row r="157" spans="1:14" x14ac:dyDescent="0.25">
      <c r="A157" s="12" t="s">
        <v>41</v>
      </c>
      <c r="B157" s="12" t="s">
        <v>15</v>
      </c>
      <c r="C157" s="12" t="s">
        <v>42</v>
      </c>
      <c r="D157" s="12" t="s">
        <v>83</v>
      </c>
      <c r="E157" s="12">
        <v>3</v>
      </c>
      <c r="F157" s="12">
        <v>2</v>
      </c>
      <c r="G157" s="12">
        <v>1</v>
      </c>
      <c r="H157" s="12">
        <v>3</v>
      </c>
      <c r="I157" s="12">
        <v>0</v>
      </c>
      <c r="J157" s="12">
        <f t="shared" si="8"/>
        <v>1.8</v>
      </c>
      <c r="K157" s="12">
        <f t="shared" si="9"/>
        <v>2</v>
      </c>
      <c r="L157" s="13" t="str">
        <f t="shared" si="10"/>
        <v>A</v>
      </c>
      <c r="M157" s="12" t="str">
        <f t="shared" si="11"/>
        <v>Aprobado</v>
      </c>
      <c r="N157" s="15">
        <v>0.8</v>
      </c>
    </row>
    <row r="158" spans="1:14" x14ac:dyDescent="0.25">
      <c r="A158" s="10" t="s">
        <v>43</v>
      </c>
      <c r="B158" s="10" t="s">
        <v>15</v>
      </c>
      <c r="C158" s="10" t="s">
        <v>44</v>
      </c>
      <c r="D158" s="10" t="s">
        <v>83</v>
      </c>
      <c r="E158" s="10">
        <v>0</v>
      </c>
      <c r="F158" s="10">
        <v>1</v>
      </c>
      <c r="G158" s="10">
        <v>2</v>
      </c>
      <c r="H158" s="10">
        <v>2</v>
      </c>
      <c r="I158" s="10">
        <v>0</v>
      </c>
      <c r="J158" s="10">
        <f t="shared" si="8"/>
        <v>1</v>
      </c>
      <c r="K158" s="10">
        <f t="shared" si="9"/>
        <v>1</v>
      </c>
      <c r="L158" s="11" t="str">
        <f t="shared" si="10"/>
        <v>B</v>
      </c>
      <c r="M158" s="10" t="str">
        <f t="shared" si="11"/>
        <v>Desaprobado</v>
      </c>
      <c r="N158" s="14">
        <v>0.25</v>
      </c>
    </row>
    <row r="159" spans="1:14" x14ac:dyDescent="0.25">
      <c r="A159" s="12" t="s">
        <v>45</v>
      </c>
      <c r="B159" s="12" t="s">
        <v>15</v>
      </c>
      <c r="C159" s="12" t="s">
        <v>46</v>
      </c>
      <c r="D159" s="12" t="s">
        <v>83</v>
      </c>
      <c r="E159" s="12">
        <v>1</v>
      </c>
      <c r="F159" s="12">
        <v>3</v>
      </c>
      <c r="G159" s="12">
        <v>1</v>
      </c>
      <c r="H159" s="12">
        <v>3</v>
      </c>
      <c r="I159" s="12">
        <v>0</v>
      </c>
      <c r="J159" s="12">
        <f t="shared" si="8"/>
        <v>1.6</v>
      </c>
      <c r="K159" s="12">
        <f t="shared" si="9"/>
        <v>2</v>
      </c>
      <c r="L159" s="13" t="str">
        <f t="shared" si="10"/>
        <v>A</v>
      </c>
      <c r="M159" s="12" t="str">
        <f t="shared" si="11"/>
        <v>Aprobado</v>
      </c>
      <c r="N159" s="15">
        <v>0.4</v>
      </c>
    </row>
    <row r="160" spans="1:14" x14ac:dyDescent="0.25">
      <c r="A160" s="10" t="s">
        <v>47</v>
      </c>
      <c r="B160" s="10" t="s">
        <v>15</v>
      </c>
      <c r="C160" s="10" t="s">
        <v>48</v>
      </c>
      <c r="D160" s="10" t="s">
        <v>83</v>
      </c>
      <c r="E160" s="10">
        <v>0</v>
      </c>
      <c r="F160" s="10">
        <v>3</v>
      </c>
      <c r="G160" s="10">
        <v>3</v>
      </c>
      <c r="H160" s="10">
        <v>1</v>
      </c>
      <c r="I160" s="10">
        <v>0</v>
      </c>
      <c r="J160" s="10">
        <f t="shared" si="8"/>
        <v>1.4</v>
      </c>
      <c r="K160" s="10">
        <f t="shared" si="9"/>
        <v>1</v>
      </c>
      <c r="L160" s="11" t="str">
        <f t="shared" si="10"/>
        <v>B</v>
      </c>
      <c r="M160" s="10" t="str">
        <f t="shared" si="11"/>
        <v>Desaprobado</v>
      </c>
      <c r="N160" s="14">
        <v>0.4</v>
      </c>
    </row>
    <row r="161" spans="1:14" x14ac:dyDescent="0.25">
      <c r="A161" s="12" t="s">
        <v>49</v>
      </c>
      <c r="B161" s="12" t="s">
        <v>15</v>
      </c>
      <c r="C161" s="12" t="s">
        <v>50</v>
      </c>
      <c r="D161" s="12" t="s">
        <v>83</v>
      </c>
      <c r="E161" s="12">
        <v>2</v>
      </c>
      <c r="F161" s="12">
        <v>0</v>
      </c>
      <c r="G161" s="12">
        <v>2</v>
      </c>
      <c r="H161" s="12">
        <v>1</v>
      </c>
      <c r="I161" s="12">
        <v>1</v>
      </c>
      <c r="J161" s="12">
        <f t="shared" si="8"/>
        <v>1.2</v>
      </c>
      <c r="K161" s="12">
        <f t="shared" si="9"/>
        <v>1</v>
      </c>
      <c r="L161" s="13" t="str">
        <f t="shared" si="10"/>
        <v>B</v>
      </c>
      <c r="M161" s="12" t="str">
        <f t="shared" si="11"/>
        <v>Desaprobado</v>
      </c>
      <c r="N161" s="15">
        <v>0.5</v>
      </c>
    </row>
    <row r="162" spans="1:14" x14ac:dyDescent="0.25">
      <c r="A162" s="10" t="s">
        <v>51</v>
      </c>
      <c r="B162" s="10" t="s">
        <v>15</v>
      </c>
      <c r="C162" s="10" t="s">
        <v>52</v>
      </c>
      <c r="D162" s="10" t="s">
        <v>83</v>
      </c>
      <c r="E162" s="10">
        <v>1</v>
      </c>
      <c r="F162" s="10">
        <v>3</v>
      </c>
      <c r="G162" s="10">
        <v>3</v>
      </c>
      <c r="H162" s="10">
        <v>3</v>
      </c>
      <c r="I162" s="10">
        <v>2</v>
      </c>
      <c r="J162" s="10">
        <f t="shared" si="8"/>
        <v>2.4</v>
      </c>
      <c r="K162" s="10">
        <f t="shared" si="9"/>
        <v>2</v>
      </c>
      <c r="L162" s="11" t="str">
        <f t="shared" si="10"/>
        <v>A</v>
      </c>
      <c r="M162" s="10" t="str">
        <f t="shared" si="11"/>
        <v>Aprobado</v>
      </c>
      <c r="N162" s="14">
        <v>0.7</v>
      </c>
    </row>
    <row r="163" spans="1:14" x14ac:dyDescent="0.25">
      <c r="A163" s="12" t="s">
        <v>53</v>
      </c>
      <c r="B163" s="12" t="s">
        <v>15</v>
      </c>
      <c r="C163" s="12" t="s">
        <v>54</v>
      </c>
      <c r="D163" s="12" t="s">
        <v>83</v>
      </c>
      <c r="E163" s="12">
        <v>2</v>
      </c>
      <c r="F163" s="12">
        <v>0</v>
      </c>
      <c r="G163" s="12">
        <v>3</v>
      </c>
      <c r="H163" s="12">
        <v>0</v>
      </c>
      <c r="I163" s="12">
        <v>0</v>
      </c>
      <c r="J163" s="12">
        <f t="shared" si="8"/>
        <v>1</v>
      </c>
      <c r="K163" s="12">
        <f t="shared" si="9"/>
        <v>1</v>
      </c>
      <c r="L163" s="13" t="str">
        <f t="shared" si="10"/>
        <v>B</v>
      </c>
      <c r="M163" s="12" t="str">
        <f t="shared" si="11"/>
        <v>Desaprobado</v>
      </c>
      <c r="N163" s="15">
        <v>0.7</v>
      </c>
    </row>
    <row r="164" spans="1:14" x14ac:dyDescent="0.25">
      <c r="A164" s="10" t="s">
        <v>55</v>
      </c>
      <c r="B164" s="10" t="s">
        <v>15</v>
      </c>
      <c r="C164" s="10" t="s">
        <v>56</v>
      </c>
      <c r="D164" s="10" t="s">
        <v>83</v>
      </c>
      <c r="E164" s="10">
        <v>3</v>
      </c>
      <c r="F164" s="10">
        <v>3</v>
      </c>
      <c r="G164" s="10">
        <v>2</v>
      </c>
      <c r="H164" s="10">
        <v>3</v>
      </c>
      <c r="I164" s="10">
        <v>1</v>
      </c>
      <c r="J164" s="10">
        <f t="shared" si="8"/>
        <v>2.4</v>
      </c>
      <c r="K164" s="10">
        <f t="shared" si="9"/>
        <v>2</v>
      </c>
      <c r="L164" s="11" t="str">
        <f t="shared" si="10"/>
        <v>A</v>
      </c>
      <c r="M164" s="10" t="str">
        <f t="shared" si="11"/>
        <v>Aprobado</v>
      </c>
      <c r="N164" s="14">
        <v>0.25</v>
      </c>
    </row>
    <row r="165" spans="1:14" x14ac:dyDescent="0.25">
      <c r="A165" s="12" t="s">
        <v>57</v>
      </c>
      <c r="B165" s="12" t="s">
        <v>15</v>
      </c>
      <c r="C165" s="12" t="s">
        <v>58</v>
      </c>
      <c r="D165" s="12" t="s">
        <v>83</v>
      </c>
      <c r="E165" s="12">
        <v>1</v>
      </c>
      <c r="F165" s="12">
        <v>3</v>
      </c>
      <c r="G165" s="12">
        <v>3</v>
      </c>
      <c r="H165" s="12">
        <v>0</v>
      </c>
      <c r="I165" s="12">
        <v>3</v>
      </c>
      <c r="J165" s="12">
        <f t="shared" si="8"/>
        <v>2</v>
      </c>
      <c r="K165" s="12">
        <f t="shared" si="9"/>
        <v>2</v>
      </c>
      <c r="L165" s="13" t="str">
        <f t="shared" si="10"/>
        <v>A</v>
      </c>
      <c r="M165" s="12" t="str">
        <f t="shared" si="11"/>
        <v>Aprobado</v>
      </c>
      <c r="N165" s="15">
        <v>0.2</v>
      </c>
    </row>
    <row r="166" spans="1:14" x14ac:dyDescent="0.25">
      <c r="A166" s="10" t="s">
        <v>59</v>
      </c>
      <c r="B166" s="10" t="s">
        <v>15</v>
      </c>
      <c r="C166" s="10" t="s">
        <v>60</v>
      </c>
      <c r="D166" s="10" t="s">
        <v>83</v>
      </c>
      <c r="E166" s="10">
        <v>1</v>
      </c>
      <c r="F166" s="10">
        <v>1</v>
      </c>
      <c r="G166" s="10">
        <v>3</v>
      </c>
      <c r="H166" s="10">
        <v>2</v>
      </c>
      <c r="I166" s="10">
        <v>3</v>
      </c>
      <c r="J166" s="10">
        <f t="shared" si="8"/>
        <v>2</v>
      </c>
      <c r="K166" s="10">
        <f t="shared" si="9"/>
        <v>2</v>
      </c>
      <c r="L166" s="11" t="str">
        <f t="shared" si="10"/>
        <v>A</v>
      </c>
      <c r="M166" s="10" t="str">
        <f t="shared" si="11"/>
        <v>Aprobado</v>
      </c>
      <c r="N166" s="14">
        <v>0.65</v>
      </c>
    </row>
    <row r="167" spans="1:14" x14ac:dyDescent="0.25">
      <c r="A167" s="12" t="s">
        <v>61</v>
      </c>
      <c r="B167" s="12" t="s">
        <v>15</v>
      </c>
      <c r="C167" s="12" t="s">
        <v>62</v>
      </c>
      <c r="D167" s="12" t="s">
        <v>83</v>
      </c>
      <c r="E167" s="12">
        <v>1</v>
      </c>
      <c r="F167" s="12">
        <v>3</v>
      </c>
      <c r="G167" s="12">
        <v>2</v>
      </c>
      <c r="H167" s="12">
        <v>3</v>
      </c>
      <c r="I167" s="12">
        <v>0</v>
      </c>
      <c r="J167" s="12">
        <f t="shared" si="8"/>
        <v>1.8</v>
      </c>
      <c r="K167" s="12">
        <f t="shared" si="9"/>
        <v>2</v>
      </c>
      <c r="L167" s="13" t="str">
        <f t="shared" si="10"/>
        <v>A</v>
      </c>
      <c r="M167" s="12" t="str">
        <f t="shared" si="11"/>
        <v>Aprobado</v>
      </c>
      <c r="N167" s="15">
        <v>0.7</v>
      </c>
    </row>
    <row r="168" spans="1:14" x14ac:dyDescent="0.25">
      <c r="A168" s="10" t="s">
        <v>63</v>
      </c>
      <c r="B168" s="10" t="s">
        <v>15</v>
      </c>
      <c r="C168" s="10" t="s">
        <v>64</v>
      </c>
      <c r="D168" s="10" t="s">
        <v>83</v>
      </c>
      <c r="E168" s="10">
        <v>2</v>
      </c>
      <c r="F168" s="10">
        <v>2</v>
      </c>
      <c r="G168" s="10">
        <v>3</v>
      </c>
      <c r="H168" s="10">
        <v>1</v>
      </c>
      <c r="I168" s="10">
        <v>2</v>
      </c>
      <c r="J168" s="10">
        <f t="shared" si="8"/>
        <v>2</v>
      </c>
      <c r="K168" s="10">
        <f t="shared" si="9"/>
        <v>2</v>
      </c>
      <c r="L168" s="11" t="str">
        <f t="shared" si="10"/>
        <v>A</v>
      </c>
      <c r="M168" s="10" t="str">
        <f t="shared" si="11"/>
        <v>Aprobado</v>
      </c>
      <c r="N168" s="14">
        <v>0.9</v>
      </c>
    </row>
    <row r="169" spans="1:14" x14ac:dyDescent="0.25">
      <c r="A169" s="12" t="s">
        <v>65</v>
      </c>
      <c r="B169" s="12" t="s">
        <v>15</v>
      </c>
      <c r="C169" s="12" t="s">
        <v>66</v>
      </c>
      <c r="D169" s="12" t="s">
        <v>83</v>
      </c>
      <c r="E169" s="12">
        <v>3</v>
      </c>
      <c r="F169" s="12">
        <v>3</v>
      </c>
      <c r="G169" s="12">
        <v>1</v>
      </c>
      <c r="H169" s="12">
        <v>1</v>
      </c>
      <c r="I169" s="12">
        <v>2</v>
      </c>
      <c r="J169" s="12">
        <f t="shared" si="8"/>
        <v>2</v>
      </c>
      <c r="K169" s="12">
        <f t="shared" si="9"/>
        <v>2</v>
      </c>
      <c r="L169" s="13" t="str">
        <f t="shared" si="10"/>
        <v>A</v>
      </c>
      <c r="M169" s="12" t="str">
        <f t="shared" si="11"/>
        <v>Aprobado</v>
      </c>
      <c r="N169" s="15">
        <v>0.7</v>
      </c>
    </row>
    <row r="170" spans="1:14" x14ac:dyDescent="0.25">
      <c r="A170" s="10" t="s">
        <v>67</v>
      </c>
      <c r="B170" s="10" t="s">
        <v>15</v>
      </c>
      <c r="C170" s="10" t="s">
        <v>68</v>
      </c>
      <c r="D170" s="10" t="s">
        <v>83</v>
      </c>
      <c r="E170" s="10">
        <v>1</v>
      </c>
      <c r="F170" s="10">
        <v>2</v>
      </c>
      <c r="G170" s="10">
        <v>0</v>
      </c>
      <c r="H170" s="10">
        <v>0</v>
      </c>
      <c r="I170" s="10">
        <v>2</v>
      </c>
      <c r="J170" s="10">
        <f t="shared" si="8"/>
        <v>1</v>
      </c>
      <c r="K170" s="10">
        <f t="shared" si="9"/>
        <v>1</v>
      </c>
      <c r="L170" s="11" t="str">
        <f t="shared" si="10"/>
        <v>B</v>
      </c>
      <c r="M170" s="10" t="str">
        <f t="shared" si="11"/>
        <v>Desaprobado</v>
      </c>
      <c r="N170" s="14">
        <v>0.95</v>
      </c>
    </row>
    <row r="171" spans="1:14" x14ac:dyDescent="0.25">
      <c r="A171" s="12" t="s">
        <v>69</v>
      </c>
      <c r="B171" s="12" t="s">
        <v>15</v>
      </c>
      <c r="C171" s="12" t="s">
        <v>70</v>
      </c>
      <c r="D171" s="12" t="s">
        <v>83</v>
      </c>
      <c r="E171" s="12">
        <v>2</v>
      </c>
      <c r="F171" s="12">
        <v>2</v>
      </c>
      <c r="G171" s="12">
        <v>2</v>
      </c>
      <c r="H171" s="12">
        <v>2</v>
      </c>
      <c r="I171" s="12">
        <v>0</v>
      </c>
      <c r="J171" s="12">
        <f t="shared" si="8"/>
        <v>1.6</v>
      </c>
      <c r="K171" s="12">
        <f t="shared" si="9"/>
        <v>2</v>
      </c>
      <c r="L171" s="13" t="str">
        <f t="shared" si="10"/>
        <v>A</v>
      </c>
      <c r="M171" s="12" t="str">
        <f t="shared" si="11"/>
        <v>Aprobado</v>
      </c>
      <c r="N171" s="15">
        <v>0.6</v>
      </c>
    </row>
    <row r="172" spans="1:14" x14ac:dyDescent="0.25">
      <c r="A172" s="10" t="s">
        <v>71</v>
      </c>
      <c r="B172" s="10" t="s">
        <v>15</v>
      </c>
      <c r="C172" s="10" t="s">
        <v>72</v>
      </c>
      <c r="D172" s="10" t="s">
        <v>83</v>
      </c>
      <c r="E172" s="10">
        <v>1</v>
      </c>
      <c r="F172" s="10">
        <v>1</v>
      </c>
      <c r="G172" s="10">
        <v>3</v>
      </c>
      <c r="H172" s="10">
        <v>3</v>
      </c>
      <c r="I172" s="10">
        <v>2</v>
      </c>
      <c r="J172" s="10">
        <f t="shared" si="8"/>
        <v>2</v>
      </c>
      <c r="K172" s="10">
        <f t="shared" si="9"/>
        <v>2</v>
      </c>
      <c r="L172" s="11" t="str">
        <f t="shared" si="10"/>
        <v>A</v>
      </c>
      <c r="M172" s="10" t="str">
        <f t="shared" si="11"/>
        <v>Aprobado</v>
      </c>
      <c r="N172" s="14">
        <v>0.1</v>
      </c>
    </row>
    <row r="173" spans="1:14" x14ac:dyDescent="0.25">
      <c r="A173" s="12" t="s">
        <v>73</v>
      </c>
      <c r="B173" s="12" t="s">
        <v>15</v>
      </c>
      <c r="C173" s="12" t="s">
        <v>74</v>
      </c>
      <c r="D173" s="12" t="s">
        <v>83</v>
      </c>
      <c r="E173" s="12">
        <v>2</v>
      </c>
      <c r="F173" s="12">
        <v>0</v>
      </c>
      <c r="G173" s="12">
        <v>2</v>
      </c>
      <c r="H173" s="12">
        <v>0</v>
      </c>
      <c r="I173" s="12">
        <v>2</v>
      </c>
      <c r="J173" s="12">
        <f t="shared" si="8"/>
        <v>1.2</v>
      </c>
      <c r="K173" s="12">
        <f t="shared" si="9"/>
        <v>1</v>
      </c>
      <c r="L173" s="13" t="str">
        <f t="shared" si="10"/>
        <v>B</v>
      </c>
      <c r="M173" s="12" t="str">
        <f t="shared" si="11"/>
        <v>Desaprobado</v>
      </c>
      <c r="N173" s="15">
        <v>0.9</v>
      </c>
    </row>
    <row r="174" spans="1:14" x14ac:dyDescent="0.25">
      <c r="A174" s="10" t="s">
        <v>75</v>
      </c>
      <c r="B174" s="10" t="s">
        <v>15</v>
      </c>
      <c r="C174" s="10" t="s">
        <v>76</v>
      </c>
      <c r="D174" s="10" t="s">
        <v>83</v>
      </c>
      <c r="E174" s="10">
        <v>0</v>
      </c>
      <c r="F174" s="10">
        <v>1</v>
      </c>
      <c r="G174" s="10">
        <v>2</v>
      </c>
      <c r="H174" s="10">
        <v>0</v>
      </c>
      <c r="I174" s="10">
        <v>0</v>
      </c>
      <c r="J174" s="10">
        <f t="shared" si="8"/>
        <v>0.6</v>
      </c>
      <c r="K174" s="10">
        <f t="shared" si="9"/>
        <v>1</v>
      </c>
      <c r="L174" s="11" t="str">
        <f t="shared" si="10"/>
        <v>B</v>
      </c>
      <c r="M174" s="10" t="str">
        <f t="shared" si="11"/>
        <v>Desaprobado</v>
      </c>
      <c r="N174" s="14">
        <v>0.95</v>
      </c>
    </row>
    <row r="175" spans="1:14" x14ac:dyDescent="0.25">
      <c r="A175" s="12" t="s">
        <v>77</v>
      </c>
      <c r="B175" s="12" t="s">
        <v>15</v>
      </c>
      <c r="C175" s="12" t="s">
        <v>78</v>
      </c>
      <c r="D175" s="12" t="s">
        <v>83</v>
      </c>
      <c r="E175" s="12">
        <v>2</v>
      </c>
      <c r="F175" s="12">
        <v>2</v>
      </c>
      <c r="G175" s="12">
        <v>0</v>
      </c>
      <c r="H175" s="12">
        <v>0</v>
      </c>
      <c r="I175" s="12">
        <v>1</v>
      </c>
      <c r="J175" s="12">
        <f t="shared" si="8"/>
        <v>1</v>
      </c>
      <c r="K175" s="12">
        <f t="shared" si="9"/>
        <v>1</v>
      </c>
      <c r="L175" s="13" t="str">
        <f t="shared" si="10"/>
        <v>B</v>
      </c>
      <c r="M175" s="12" t="str">
        <f t="shared" si="11"/>
        <v>Desaprobado</v>
      </c>
      <c r="N175" s="15">
        <v>0.8</v>
      </c>
    </row>
    <row r="176" spans="1:14" x14ac:dyDescent="0.25">
      <c r="A176" s="10" t="s">
        <v>14</v>
      </c>
      <c r="B176" s="10" t="s">
        <v>84</v>
      </c>
      <c r="C176" s="10" t="s">
        <v>16</v>
      </c>
      <c r="D176" s="10" t="s">
        <v>17</v>
      </c>
      <c r="E176" s="10">
        <v>1</v>
      </c>
      <c r="F176" s="10">
        <v>2</v>
      </c>
      <c r="G176" s="10">
        <v>0</v>
      </c>
      <c r="H176" s="10">
        <v>0</v>
      </c>
      <c r="I176" s="10">
        <v>3</v>
      </c>
      <c r="J176" s="10">
        <f t="shared" si="8"/>
        <v>1.2</v>
      </c>
      <c r="K176" s="10">
        <f t="shared" si="9"/>
        <v>1</v>
      </c>
      <c r="L176" s="11" t="str">
        <f t="shared" si="10"/>
        <v>B</v>
      </c>
      <c r="M176" s="10" t="str">
        <f t="shared" si="11"/>
        <v>Desaprobado</v>
      </c>
      <c r="N176" s="14">
        <v>0.95</v>
      </c>
    </row>
    <row r="177" spans="1:14" x14ac:dyDescent="0.25">
      <c r="A177" s="12" t="s">
        <v>19</v>
      </c>
      <c r="B177" s="12" t="s">
        <v>84</v>
      </c>
      <c r="C177" s="12" t="s">
        <v>20</v>
      </c>
      <c r="D177" s="12" t="s">
        <v>17</v>
      </c>
      <c r="E177" s="12">
        <v>0</v>
      </c>
      <c r="F177" s="12">
        <v>3</v>
      </c>
      <c r="G177" s="12">
        <v>3</v>
      </c>
      <c r="H177" s="12">
        <v>0</v>
      </c>
      <c r="I177" s="12">
        <v>1</v>
      </c>
      <c r="J177" s="12">
        <f t="shared" si="8"/>
        <v>1.4</v>
      </c>
      <c r="K177" s="12">
        <f t="shared" si="9"/>
        <v>1</v>
      </c>
      <c r="L177" s="13" t="str">
        <f t="shared" si="10"/>
        <v>B</v>
      </c>
      <c r="M177" s="12" t="str">
        <f t="shared" si="11"/>
        <v>Desaprobado</v>
      </c>
      <c r="N177" s="15">
        <v>0.6</v>
      </c>
    </row>
    <row r="178" spans="1:14" x14ac:dyDescent="0.25">
      <c r="A178" s="10" t="s">
        <v>22</v>
      </c>
      <c r="B178" s="10" t="s">
        <v>84</v>
      </c>
      <c r="C178" s="10" t="s">
        <v>23</v>
      </c>
      <c r="D178" s="10" t="s">
        <v>17</v>
      </c>
      <c r="E178" s="10">
        <v>2</v>
      </c>
      <c r="F178" s="10">
        <v>3</v>
      </c>
      <c r="G178" s="10">
        <v>2</v>
      </c>
      <c r="H178" s="10">
        <v>0</v>
      </c>
      <c r="I178" s="10">
        <v>3</v>
      </c>
      <c r="J178" s="10">
        <f t="shared" si="8"/>
        <v>2</v>
      </c>
      <c r="K178" s="10">
        <f t="shared" si="9"/>
        <v>2</v>
      </c>
      <c r="L178" s="11" t="str">
        <f t="shared" si="10"/>
        <v>A</v>
      </c>
      <c r="M178" s="10" t="str">
        <f t="shared" si="11"/>
        <v>Aprobado</v>
      </c>
      <c r="N178" s="14">
        <v>1</v>
      </c>
    </row>
    <row r="179" spans="1:14" x14ac:dyDescent="0.25">
      <c r="A179" s="12" t="s">
        <v>25</v>
      </c>
      <c r="B179" s="12" t="s">
        <v>84</v>
      </c>
      <c r="C179" s="12" t="s">
        <v>26</v>
      </c>
      <c r="D179" s="12" t="s">
        <v>17</v>
      </c>
      <c r="E179" s="12">
        <v>1</v>
      </c>
      <c r="F179" s="12">
        <v>0</v>
      </c>
      <c r="G179" s="12">
        <v>1</v>
      </c>
      <c r="H179" s="12">
        <v>0</v>
      </c>
      <c r="I179" s="12">
        <v>3</v>
      </c>
      <c r="J179" s="12">
        <f t="shared" si="8"/>
        <v>1</v>
      </c>
      <c r="K179" s="12">
        <f t="shared" si="9"/>
        <v>1</v>
      </c>
      <c r="L179" s="13" t="str">
        <f t="shared" si="10"/>
        <v>B</v>
      </c>
      <c r="M179" s="12" t="str">
        <f t="shared" si="11"/>
        <v>Desaprobado</v>
      </c>
      <c r="N179" s="15">
        <v>0.9</v>
      </c>
    </row>
    <row r="180" spans="1:14" x14ac:dyDescent="0.25">
      <c r="A180" s="10" t="s">
        <v>28</v>
      </c>
      <c r="B180" s="10" t="s">
        <v>84</v>
      </c>
      <c r="C180" s="10" t="s">
        <v>29</v>
      </c>
      <c r="D180" s="10" t="s">
        <v>17</v>
      </c>
      <c r="E180" s="10">
        <v>2</v>
      </c>
      <c r="F180" s="10">
        <v>0</v>
      </c>
      <c r="G180" s="10">
        <v>0</v>
      </c>
      <c r="H180" s="10">
        <v>3</v>
      </c>
      <c r="I180" s="10">
        <v>3</v>
      </c>
      <c r="J180" s="10">
        <f t="shared" si="8"/>
        <v>1.6</v>
      </c>
      <c r="K180" s="10">
        <f t="shared" si="9"/>
        <v>2</v>
      </c>
      <c r="L180" s="11" t="str">
        <f t="shared" si="10"/>
        <v>A</v>
      </c>
      <c r="M180" s="10" t="str">
        <f t="shared" si="11"/>
        <v>Aprobado</v>
      </c>
      <c r="N180" s="14">
        <v>0.95</v>
      </c>
    </row>
    <row r="181" spans="1:14" x14ac:dyDescent="0.25">
      <c r="A181" s="12" t="s">
        <v>31</v>
      </c>
      <c r="B181" s="12" t="s">
        <v>84</v>
      </c>
      <c r="C181" s="12" t="s">
        <v>32</v>
      </c>
      <c r="D181" s="12" t="s">
        <v>17</v>
      </c>
      <c r="E181" s="12">
        <v>2</v>
      </c>
      <c r="F181" s="12">
        <v>1</v>
      </c>
      <c r="G181" s="12">
        <v>2</v>
      </c>
      <c r="H181" s="12">
        <v>3</v>
      </c>
      <c r="I181" s="12">
        <v>1</v>
      </c>
      <c r="J181" s="12">
        <f t="shared" si="8"/>
        <v>1.8</v>
      </c>
      <c r="K181" s="12">
        <f t="shared" si="9"/>
        <v>2</v>
      </c>
      <c r="L181" s="13" t="str">
        <f t="shared" si="10"/>
        <v>A</v>
      </c>
      <c r="M181" s="12" t="str">
        <f t="shared" si="11"/>
        <v>Aprobado</v>
      </c>
      <c r="N181" s="15">
        <v>0.7</v>
      </c>
    </row>
    <row r="182" spans="1:14" x14ac:dyDescent="0.25">
      <c r="A182" s="10" t="s">
        <v>33</v>
      </c>
      <c r="B182" s="10" t="s">
        <v>84</v>
      </c>
      <c r="C182" s="10" t="s">
        <v>34</v>
      </c>
      <c r="D182" s="10" t="s">
        <v>17</v>
      </c>
      <c r="E182" s="10">
        <v>3</v>
      </c>
      <c r="F182" s="10">
        <v>2</v>
      </c>
      <c r="G182" s="10">
        <v>3</v>
      </c>
      <c r="H182" s="10">
        <v>2</v>
      </c>
      <c r="I182" s="10">
        <v>3</v>
      </c>
      <c r="J182" s="10">
        <f t="shared" si="8"/>
        <v>2.6</v>
      </c>
      <c r="K182" s="10">
        <f t="shared" si="9"/>
        <v>3</v>
      </c>
      <c r="L182" s="11" t="str">
        <f t="shared" si="10"/>
        <v>AD</v>
      </c>
      <c r="M182" s="10" t="str">
        <f t="shared" si="11"/>
        <v>Aprobado</v>
      </c>
      <c r="N182" s="14">
        <v>1</v>
      </c>
    </row>
    <row r="183" spans="1:14" x14ac:dyDescent="0.25">
      <c r="A183" s="12" t="s">
        <v>35</v>
      </c>
      <c r="B183" s="12" t="s">
        <v>84</v>
      </c>
      <c r="C183" s="12" t="s">
        <v>36</v>
      </c>
      <c r="D183" s="12" t="s">
        <v>17</v>
      </c>
      <c r="E183" s="12">
        <v>3</v>
      </c>
      <c r="F183" s="12">
        <v>3</v>
      </c>
      <c r="G183" s="12">
        <v>0</v>
      </c>
      <c r="H183" s="12">
        <v>2</v>
      </c>
      <c r="I183" s="12">
        <v>0</v>
      </c>
      <c r="J183" s="12">
        <f t="shared" si="8"/>
        <v>1.6</v>
      </c>
      <c r="K183" s="12">
        <f t="shared" si="9"/>
        <v>2</v>
      </c>
      <c r="L183" s="13" t="str">
        <f t="shared" si="10"/>
        <v>A</v>
      </c>
      <c r="M183" s="12" t="str">
        <f t="shared" si="11"/>
        <v>Aprobado</v>
      </c>
      <c r="N183" s="15">
        <v>0.95</v>
      </c>
    </row>
    <row r="184" spans="1:14" x14ac:dyDescent="0.25">
      <c r="A184" s="10" t="s">
        <v>37</v>
      </c>
      <c r="B184" s="10" t="s">
        <v>84</v>
      </c>
      <c r="C184" s="10" t="s">
        <v>38</v>
      </c>
      <c r="D184" s="10" t="s">
        <v>17</v>
      </c>
      <c r="E184" s="10">
        <v>3</v>
      </c>
      <c r="F184" s="10">
        <v>3</v>
      </c>
      <c r="G184" s="10">
        <v>3</v>
      </c>
      <c r="H184" s="10">
        <v>1</v>
      </c>
      <c r="I184" s="10">
        <v>0</v>
      </c>
      <c r="J184" s="10">
        <f t="shared" si="8"/>
        <v>2</v>
      </c>
      <c r="K184" s="10">
        <f t="shared" si="9"/>
        <v>2</v>
      </c>
      <c r="L184" s="11" t="str">
        <f t="shared" si="10"/>
        <v>A</v>
      </c>
      <c r="M184" s="10" t="str">
        <f t="shared" si="11"/>
        <v>Aprobado</v>
      </c>
      <c r="N184" s="14">
        <v>0.8</v>
      </c>
    </row>
    <row r="185" spans="1:14" x14ac:dyDescent="0.25">
      <c r="A185" s="12" t="s">
        <v>39</v>
      </c>
      <c r="B185" s="12" t="s">
        <v>84</v>
      </c>
      <c r="C185" s="12" t="s">
        <v>40</v>
      </c>
      <c r="D185" s="12" t="s">
        <v>17</v>
      </c>
      <c r="E185" s="12">
        <v>2</v>
      </c>
      <c r="F185" s="12">
        <v>0</v>
      </c>
      <c r="G185" s="12">
        <v>2</v>
      </c>
      <c r="H185" s="12">
        <v>3</v>
      </c>
      <c r="I185" s="12">
        <v>1</v>
      </c>
      <c r="J185" s="12">
        <f t="shared" si="8"/>
        <v>1.6</v>
      </c>
      <c r="K185" s="12">
        <f t="shared" si="9"/>
        <v>2</v>
      </c>
      <c r="L185" s="13" t="str">
        <f t="shared" si="10"/>
        <v>A</v>
      </c>
      <c r="M185" s="12" t="str">
        <f t="shared" si="11"/>
        <v>Aprobado</v>
      </c>
      <c r="N185" s="15">
        <v>0.25</v>
      </c>
    </row>
    <row r="186" spans="1:14" x14ac:dyDescent="0.25">
      <c r="A186" s="10" t="s">
        <v>41</v>
      </c>
      <c r="B186" s="10" t="s">
        <v>84</v>
      </c>
      <c r="C186" s="10" t="s">
        <v>42</v>
      </c>
      <c r="D186" s="10" t="s">
        <v>17</v>
      </c>
      <c r="E186" s="10">
        <v>2</v>
      </c>
      <c r="F186" s="10">
        <v>0</v>
      </c>
      <c r="G186" s="10">
        <v>1</v>
      </c>
      <c r="H186" s="10">
        <v>1</v>
      </c>
      <c r="I186" s="10">
        <v>1</v>
      </c>
      <c r="J186" s="10">
        <f t="shared" si="8"/>
        <v>1</v>
      </c>
      <c r="K186" s="10">
        <f t="shared" si="9"/>
        <v>1</v>
      </c>
      <c r="L186" s="11" t="str">
        <f t="shared" si="10"/>
        <v>B</v>
      </c>
      <c r="M186" s="10" t="str">
        <f t="shared" si="11"/>
        <v>Desaprobado</v>
      </c>
      <c r="N186" s="14">
        <v>0.6</v>
      </c>
    </row>
    <row r="187" spans="1:14" x14ac:dyDescent="0.25">
      <c r="A187" s="12" t="s">
        <v>43</v>
      </c>
      <c r="B187" s="12" t="s">
        <v>84</v>
      </c>
      <c r="C187" s="12" t="s">
        <v>44</v>
      </c>
      <c r="D187" s="12" t="s">
        <v>17</v>
      </c>
      <c r="E187" s="12">
        <v>2</v>
      </c>
      <c r="F187" s="12">
        <v>0</v>
      </c>
      <c r="G187" s="12">
        <v>2</v>
      </c>
      <c r="H187" s="12">
        <v>2</v>
      </c>
      <c r="I187" s="12">
        <v>1</v>
      </c>
      <c r="J187" s="12">
        <f t="shared" si="8"/>
        <v>1.4</v>
      </c>
      <c r="K187" s="12">
        <f t="shared" si="9"/>
        <v>1</v>
      </c>
      <c r="L187" s="13" t="str">
        <f t="shared" si="10"/>
        <v>B</v>
      </c>
      <c r="M187" s="12" t="str">
        <f t="shared" si="11"/>
        <v>Desaprobado</v>
      </c>
      <c r="N187" s="15">
        <v>0.4</v>
      </c>
    </row>
    <row r="188" spans="1:14" x14ac:dyDescent="0.25">
      <c r="A188" s="10" t="s">
        <v>45</v>
      </c>
      <c r="B188" s="10" t="s">
        <v>84</v>
      </c>
      <c r="C188" s="10" t="s">
        <v>46</v>
      </c>
      <c r="D188" s="10" t="s">
        <v>17</v>
      </c>
      <c r="E188" s="10">
        <v>2</v>
      </c>
      <c r="F188" s="10">
        <v>0</v>
      </c>
      <c r="G188" s="10">
        <v>3</v>
      </c>
      <c r="H188" s="10">
        <v>2</v>
      </c>
      <c r="I188" s="10">
        <v>2</v>
      </c>
      <c r="J188" s="10">
        <f t="shared" si="8"/>
        <v>1.8</v>
      </c>
      <c r="K188" s="10">
        <f t="shared" si="9"/>
        <v>2</v>
      </c>
      <c r="L188" s="11" t="str">
        <f t="shared" si="10"/>
        <v>A</v>
      </c>
      <c r="M188" s="10" t="str">
        <f t="shared" si="11"/>
        <v>Aprobado</v>
      </c>
      <c r="N188" s="14">
        <v>0.5</v>
      </c>
    </row>
    <row r="189" spans="1:14" x14ac:dyDescent="0.25">
      <c r="A189" s="12" t="s">
        <v>47</v>
      </c>
      <c r="B189" s="12" t="s">
        <v>84</v>
      </c>
      <c r="C189" s="12" t="s">
        <v>48</v>
      </c>
      <c r="D189" s="12" t="s">
        <v>17</v>
      </c>
      <c r="E189" s="12">
        <v>0</v>
      </c>
      <c r="F189" s="12">
        <v>2</v>
      </c>
      <c r="G189" s="12">
        <v>1</v>
      </c>
      <c r="H189" s="12">
        <v>0</v>
      </c>
      <c r="I189" s="12">
        <v>1</v>
      </c>
      <c r="J189" s="12">
        <f t="shared" si="8"/>
        <v>0.8</v>
      </c>
      <c r="K189" s="12">
        <f t="shared" si="9"/>
        <v>1</v>
      </c>
      <c r="L189" s="13" t="str">
        <f t="shared" si="10"/>
        <v>B</v>
      </c>
      <c r="M189" s="12" t="str">
        <f t="shared" si="11"/>
        <v>Desaprobado</v>
      </c>
      <c r="N189" s="15">
        <v>0.7</v>
      </c>
    </row>
    <row r="190" spans="1:14" x14ac:dyDescent="0.25">
      <c r="A190" s="10" t="s">
        <v>49</v>
      </c>
      <c r="B190" s="10" t="s">
        <v>84</v>
      </c>
      <c r="C190" s="10" t="s">
        <v>50</v>
      </c>
      <c r="D190" s="10" t="s">
        <v>17</v>
      </c>
      <c r="E190" s="10">
        <v>1</v>
      </c>
      <c r="F190" s="10">
        <v>3</v>
      </c>
      <c r="G190" s="10">
        <v>3</v>
      </c>
      <c r="H190" s="10">
        <v>3</v>
      </c>
      <c r="I190" s="10">
        <v>1</v>
      </c>
      <c r="J190" s="10">
        <f t="shared" si="8"/>
        <v>2.2000000000000002</v>
      </c>
      <c r="K190" s="10">
        <f t="shared" si="9"/>
        <v>2</v>
      </c>
      <c r="L190" s="11" t="str">
        <f t="shared" si="10"/>
        <v>A</v>
      </c>
      <c r="M190" s="10" t="str">
        <f t="shared" si="11"/>
        <v>Aprobado</v>
      </c>
      <c r="N190" s="14">
        <v>0.7</v>
      </c>
    </row>
    <row r="191" spans="1:14" x14ac:dyDescent="0.25">
      <c r="A191" s="12" t="s">
        <v>51</v>
      </c>
      <c r="B191" s="12" t="s">
        <v>84</v>
      </c>
      <c r="C191" s="12" t="s">
        <v>52</v>
      </c>
      <c r="D191" s="12" t="s">
        <v>17</v>
      </c>
      <c r="E191" s="12">
        <v>3</v>
      </c>
      <c r="F191" s="12">
        <v>2</v>
      </c>
      <c r="G191" s="12">
        <v>2</v>
      </c>
      <c r="H191" s="12">
        <v>0</v>
      </c>
      <c r="I191" s="12">
        <v>2</v>
      </c>
      <c r="J191" s="12">
        <f t="shared" si="8"/>
        <v>1.8</v>
      </c>
      <c r="K191" s="12">
        <f t="shared" si="9"/>
        <v>2</v>
      </c>
      <c r="L191" s="13" t="str">
        <f t="shared" si="10"/>
        <v>A</v>
      </c>
      <c r="M191" s="12" t="str">
        <f t="shared" si="11"/>
        <v>Aprobado</v>
      </c>
      <c r="N191" s="15">
        <v>0.5</v>
      </c>
    </row>
    <row r="192" spans="1:14" x14ac:dyDescent="0.25">
      <c r="A192" s="10" t="s">
        <v>53</v>
      </c>
      <c r="B192" s="10" t="s">
        <v>84</v>
      </c>
      <c r="C192" s="10" t="s">
        <v>54</v>
      </c>
      <c r="D192" s="10" t="s">
        <v>17</v>
      </c>
      <c r="E192" s="10">
        <v>2</v>
      </c>
      <c r="F192" s="10">
        <v>3</v>
      </c>
      <c r="G192" s="10">
        <v>3</v>
      </c>
      <c r="H192" s="10">
        <v>2</v>
      </c>
      <c r="I192" s="10">
        <v>3</v>
      </c>
      <c r="J192" s="10">
        <f t="shared" si="8"/>
        <v>2.6</v>
      </c>
      <c r="K192" s="10">
        <f t="shared" si="9"/>
        <v>3</v>
      </c>
      <c r="L192" s="11" t="str">
        <f t="shared" si="10"/>
        <v>AD</v>
      </c>
      <c r="M192" s="10" t="str">
        <f t="shared" si="11"/>
        <v>Aprobado</v>
      </c>
      <c r="N192" s="14">
        <v>0.2</v>
      </c>
    </row>
    <row r="193" spans="1:14" x14ac:dyDescent="0.25">
      <c r="A193" s="12" t="s">
        <v>55</v>
      </c>
      <c r="B193" s="12" t="s">
        <v>84</v>
      </c>
      <c r="C193" s="12" t="s">
        <v>56</v>
      </c>
      <c r="D193" s="12" t="s">
        <v>17</v>
      </c>
      <c r="E193" s="12">
        <v>2</v>
      </c>
      <c r="F193" s="12">
        <v>3</v>
      </c>
      <c r="G193" s="12">
        <v>1</v>
      </c>
      <c r="H193" s="12">
        <v>2</v>
      </c>
      <c r="I193" s="12">
        <v>3</v>
      </c>
      <c r="J193" s="12">
        <f t="shared" si="8"/>
        <v>2.2000000000000002</v>
      </c>
      <c r="K193" s="12">
        <f t="shared" si="9"/>
        <v>2</v>
      </c>
      <c r="L193" s="13" t="str">
        <f t="shared" si="10"/>
        <v>A</v>
      </c>
      <c r="M193" s="12" t="str">
        <f t="shared" si="11"/>
        <v>Aprobado</v>
      </c>
      <c r="N193" s="15">
        <v>0.65</v>
      </c>
    </row>
    <row r="194" spans="1:14" x14ac:dyDescent="0.25">
      <c r="A194" s="10" t="s">
        <v>57</v>
      </c>
      <c r="B194" s="10" t="s">
        <v>84</v>
      </c>
      <c r="C194" s="10" t="s">
        <v>58</v>
      </c>
      <c r="D194" s="10" t="s">
        <v>17</v>
      </c>
      <c r="E194" s="10">
        <v>0</v>
      </c>
      <c r="F194" s="10">
        <v>1</v>
      </c>
      <c r="G194" s="10">
        <v>2</v>
      </c>
      <c r="H194" s="10">
        <v>2</v>
      </c>
      <c r="I194" s="10">
        <v>0</v>
      </c>
      <c r="J194" s="10">
        <f t="shared" si="8"/>
        <v>1</v>
      </c>
      <c r="K194" s="10">
        <f t="shared" si="9"/>
        <v>1</v>
      </c>
      <c r="L194" s="11" t="str">
        <f t="shared" si="10"/>
        <v>B</v>
      </c>
      <c r="M194" s="10" t="str">
        <f t="shared" si="11"/>
        <v>Desaprobado</v>
      </c>
      <c r="N194" s="14">
        <v>0.7</v>
      </c>
    </row>
    <row r="195" spans="1:14" x14ac:dyDescent="0.25">
      <c r="A195" s="12" t="s">
        <v>59</v>
      </c>
      <c r="B195" s="12" t="s">
        <v>84</v>
      </c>
      <c r="C195" s="12" t="s">
        <v>60</v>
      </c>
      <c r="D195" s="12" t="s">
        <v>17</v>
      </c>
      <c r="E195" s="12">
        <v>3</v>
      </c>
      <c r="F195" s="12">
        <v>0</v>
      </c>
      <c r="G195" s="12">
        <v>2</v>
      </c>
      <c r="H195" s="12">
        <v>0</v>
      </c>
      <c r="I195" s="12">
        <v>0</v>
      </c>
      <c r="J195" s="12">
        <f t="shared" ref="J195:J258" si="12">+AVERAGE(E195:I195)</f>
        <v>1</v>
      </c>
      <c r="K195" s="12">
        <f t="shared" ref="K195:K258" si="13">+ROUND(J195,0)</f>
        <v>1</v>
      </c>
      <c r="L195" s="13" t="str">
        <f t="shared" ref="L195:L258" si="14">+_xlfn.XLOOKUP(K195,$R$3:$R$6,$S$3:$S$6)</f>
        <v>B</v>
      </c>
      <c r="M195" s="12" t="str">
        <f t="shared" ref="M195:M258" si="15">+IF(OR(L195="AD",L195="A"),"Aprobado","Desaprobado")</f>
        <v>Desaprobado</v>
      </c>
      <c r="N195" s="15">
        <v>0.9</v>
      </c>
    </row>
    <row r="196" spans="1:14" x14ac:dyDescent="0.25">
      <c r="A196" s="10" t="s">
        <v>61</v>
      </c>
      <c r="B196" s="10" t="s">
        <v>84</v>
      </c>
      <c r="C196" s="10" t="s">
        <v>62</v>
      </c>
      <c r="D196" s="10" t="s">
        <v>17</v>
      </c>
      <c r="E196" s="10">
        <v>2</v>
      </c>
      <c r="F196" s="10">
        <v>3</v>
      </c>
      <c r="G196" s="10">
        <v>3</v>
      </c>
      <c r="H196" s="10">
        <v>0</v>
      </c>
      <c r="I196" s="10">
        <v>1</v>
      </c>
      <c r="J196" s="10">
        <f t="shared" si="12"/>
        <v>1.8</v>
      </c>
      <c r="K196" s="10">
        <f t="shared" si="13"/>
        <v>2</v>
      </c>
      <c r="L196" s="11" t="str">
        <f t="shared" si="14"/>
        <v>A</v>
      </c>
      <c r="M196" s="10" t="str">
        <f t="shared" si="15"/>
        <v>Aprobado</v>
      </c>
      <c r="N196" s="14">
        <v>0.8</v>
      </c>
    </row>
    <row r="197" spans="1:14" x14ac:dyDescent="0.25">
      <c r="A197" s="12" t="s">
        <v>63</v>
      </c>
      <c r="B197" s="12" t="s">
        <v>84</v>
      </c>
      <c r="C197" s="12" t="s">
        <v>64</v>
      </c>
      <c r="D197" s="12" t="s">
        <v>17</v>
      </c>
      <c r="E197" s="12">
        <v>1</v>
      </c>
      <c r="F197" s="12">
        <v>0</v>
      </c>
      <c r="G197" s="12">
        <v>3</v>
      </c>
      <c r="H197" s="12">
        <v>1</v>
      </c>
      <c r="I197" s="12">
        <v>1</v>
      </c>
      <c r="J197" s="12">
        <f t="shared" si="12"/>
        <v>1.2</v>
      </c>
      <c r="K197" s="12">
        <f t="shared" si="13"/>
        <v>1</v>
      </c>
      <c r="L197" s="13" t="str">
        <f t="shared" si="14"/>
        <v>B</v>
      </c>
      <c r="M197" s="12" t="str">
        <f t="shared" si="15"/>
        <v>Desaprobado</v>
      </c>
      <c r="N197" s="15">
        <v>0.95</v>
      </c>
    </row>
    <row r="198" spans="1:14" x14ac:dyDescent="0.25">
      <c r="A198" s="10" t="s">
        <v>65</v>
      </c>
      <c r="B198" s="10" t="s">
        <v>84</v>
      </c>
      <c r="C198" s="10" t="s">
        <v>66</v>
      </c>
      <c r="D198" s="10" t="s">
        <v>17</v>
      </c>
      <c r="E198" s="10">
        <v>3</v>
      </c>
      <c r="F198" s="10">
        <v>0</v>
      </c>
      <c r="G198" s="10">
        <v>1</v>
      </c>
      <c r="H198" s="10">
        <v>1</v>
      </c>
      <c r="I198" s="10">
        <v>1</v>
      </c>
      <c r="J198" s="10">
        <f t="shared" si="12"/>
        <v>1.2</v>
      </c>
      <c r="K198" s="10">
        <f t="shared" si="13"/>
        <v>1</v>
      </c>
      <c r="L198" s="11" t="str">
        <f t="shared" si="14"/>
        <v>B</v>
      </c>
      <c r="M198" s="10" t="str">
        <f t="shared" si="15"/>
        <v>Desaprobado</v>
      </c>
      <c r="N198" s="14">
        <v>0.6</v>
      </c>
    </row>
    <row r="199" spans="1:14" x14ac:dyDescent="0.25">
      <c r="A199" s="12" t="s">
        <v>67</v>
      </c>
      <c r="B199" s="12" t="s">
        <v>84</v>
      </c>
      <c r="C199" s="12" t="s">
        <v>68</v>
      </c>
      <c r="D199" s="12" t="s">
        <v>17</v>
      </c>
      <c r="E199" s="12">
        <v>2</v>
      </c>
      <c r="F199" s="12">
        <v>2</v>
      </c>
      <c r="G199" s="12">
        <v>3</v>
      </c>
      <c r="H199" s="12">
        <v>0</v>
      </c>
      <c r="I199" s="12">
        <v>2</v>
      </c>
      <c r="J199" s="12">
        <f t="shared" si="12"/>
        <v>1.8</v>
      </c>
      <c r="K199" s="12">
        <f t="shared" si="13"/>
        <v>2</v>
      </c>
      <c r="L199" s="13" t="str">
        <f t="shared" si="14"/>
        <v>A</v>
      </c>
      <c r="M199" s="12" t="str">
        <f t="shared" si="15"/>
        <v>Aprobado</v>
      </c>
      <c r="N199" s="15">
        <v>0.9</v>
      </c>
    </row>
    <row r="200" spans="1:14" x14ac:dyDescent="0.25">
      <c r="A200" s="10" t="s">
        <v>69</v>
      </c>
      <c r="B200" s="10" t="s">
        <v>84</v>
      </c>
      <c r="C200" s="10" t="s">
        <v>70</v>
      </c>
      <c r="D200" s="10" t="s">
        <v>17</v>
      </c>
      <c r="E200" s="10">
        <v>0</v>
      </c>
      <c r="F200" s="10">
        <v>2</v>
      </c>
      <c r="G200" s="10">
        <v>3</v>
      </c>
      <c r="H200" s="10">
        <v>3</v>
      </c>
      <c r="I200" s="10">
        <v>2</v>
      </c>
      <c r="J200" s="10">
        <f t="shared" si="12"/>
        <v>2</v>
      </c>
      <c r="K200" s="10">
        <f t="shared" si="13"/>
        <v>2</v>
      </c>
      <c r="L200" s="11" t="str">
        <f t="shared" si="14"/>
        <v>A</v>
      </c>
      <c r="M200" s="10" t="str">
        <f t="shared" si="15"/>
        <v>Aprobado</v>
      </c>
      <c r="N200" s="14">
        <v>0.9</v>
      </c>
    </row>
    <row r="201" spans="1:14" x14ac:dyDescent="0.25">
      <c r="A201" s="12" t="s">
        <v>71</v>
      </c>
      <c r="B201" s="12" t="s">
        <v>84</v>
      </c>
      <c r="C201" s="12" t="s">
        <v>72</v>
      </c>
      <c r="D201" s="12" t="s">
        <v>17</v>
      </c>
      <c r="E201" s="12">
        <v>1</v>
      </c>
      <c r="F201" s="12">
        <v>3</v>
      </c>
      <c r="G201" s="12">
        <v>1</v>
      </c>
      <c r="H201" s="12">
        <v>2</v>
      </c>
      <c r="I201" s="12">
        <v>3</v>
      </c>
      <c r="J201" s="12">
        <f t="shared" si="12"/>
        <v>2</v>
      </c>
      <c r="K201" s="12">
        <f t="shared" si="13"/>
        <v>2</v>
      </c>
      <c r="L201" s="13" t="str">
        <f t="shared" si="14"/>
        <v>A</v>
      </c>
      <c r="M201" s="12" t="str">
        <f t="shared" si="15"/>
        <v>Aprobado</v>
      </c>
      <c r="N201" s="15">
        <v>0.95</v>
      </c>
    </row>
    <row r="202" spans="1:14" x14ac:dyDescent="0.25">
      <c r="A202" s="10" t="s">
        <v>73</v>
      </c>
      <c r="B202" s="10" t="s">
        <v>84</v>
      </c>
      <c r="C202" s="10" t="s">
        <v>74</v>
      </c>
      <c r="D202" s="10" t="s">
        <v>17</v>
      </c>
      <c r="E202" s="10">
        <v>2</v>
      </c>
      <c r="F202" s="10">
        <v>1</v>
      </c>
      <c r="G202" s="10">
        <v>0</v>
      </c>
      <c r="H202" s="10">
        <v>3</v>
      </c>
      <c r="I202" s="10">
        <v>2</v>
      </c>
      <c r="J202" s="10">
        <f t="shared" si="12"/>
        <v>1.6</v>
      </c>
      <c r="K202" s="10">
        <f t="shared" si="13"/>
        <v>2</v>
      </c>
      <c r="L202" s="11" t="str">
        <f t="shared" si="14"/>
        <v>A</v>
      </c>
      <c r="M202" s="10" t="str">
        <f t="shared" si="15"/>
        <v>Aprobado</v>
      </c>
      <c r="N202" s="14">
        <v>0.45</v>
      </c>
    </row>
    <row r="203" spans="1:14" x14ac:dyDescent="0.25">
      <c r="A203" s="12" t="s">
        <v>75</v>
      </c>
      <c r="B203" s="12" t="s">
        <v>84</v>
      </c>
      <c r="C203" s="12" t="s">
        <v>76</v>
      </c>
      <c r="D203" s="12" t="s">
        <v>17</v>
      </c>
      <c r="E203" s="12">
        <v>0</v>
      </c>
      <c r="F203" s="12">
        <v>0</v>
      </c>
      <c r="G203" s="12">
        <v>1</v>
      </c>
      <c r="H203" s="12">
        <v>3</v>
      </c>
      <c r="I203" s="12">
        <v>2</v>
      </c>
      <c r="J203" s="12">
        <f t="shared" si="12"/>
        <v>1.2</v>
      </c>
      <c r="K203" s="12">
        <f t="shared" si="13"/>
        <v>1</v>
      </c>
      <c r="L203" s="13" t="str">
        <f t="shared" si="14"/>
        <v>B</v>
      </c>
      <c r="M203" s="12" t="str">
        <f t="shared" si="15"/>
        <v>Desaprobado</v>
      </c>
      <c r="N203" s="15">
        <v>0.2</v>
      </c>
    </row>
    <row r="204" spans="1:14" x14ac:dyDescent="0.25">
      <c r="A204" s="10" t="s">
        <v>77</v>
      </c>
      <c r="B204" s="10" t="s">
        <v>84</v>
      </c>
      <c r="C204" s="10" t="s">
        <v>78</v>
      </c>
      <c r="D204" s="10" t="s">
        <v>17</v>
      </c>
      <c r="E204" s="10">
        <v>0</v>
      </c>
      <c r="F204" s="10">
        <v>3</v>
      </c>
      <c r="G204" s="10">
        <v>1</v>
      </c>
      <c r="H204" s="10">
        <v>1</v>
      </c>
      <c r="I204" s="10">
        <v>3</v>
      </c>
      <c r="J204" s="10">
        <f t="shared" si="12"/>
        <v>1.6</v>
      </c>
      <c r="K204" s="10">
        <f t="shared" si="13"/>
        <v>2</v>
      </c>
      <c r="L204" s="11" t="str">
        <f t="shared" si="14"/>
        <v>A</v>
      </c>
      <c r="M204" s="10" t="str">
        <f t="shared" si="15"/>
        <v>Aprobado</v>
      </c>
      <c r="N204" s="14">
        <v>0.95</v>
      </c>
    </row>
    <row r="205" spans="1:14" x14ac:dyDescent="0.25">
      <c r="A205" s="12" t="s">
        <v>14</v>
      </c>
      <c r="B205" s="12" t="s">
        <v>84</v>
      </c>
      <c r="C205" s="12" t="s">
        <v>16</v>
      </c>
      <c r="D205" s="12" t="s">
        <v>79</v>
      </c>
      <c r="E205" s="12">
        <v>2</v>
      </c>
      <c r="F205" s="12">
        <v>2</v>
      </c>
      <c r="G205" s="12">
        <v>2</v>
      </c>
      <c r="H205" s="12">
        <v>0</v>
      </c>
      <c r="I205" s="12">
        <v>0</v>
      </c>
      <c r="J205" s="12">
        <f t="shared" si="12"/>
        <v>1.2</v>
      </c>
      <c r="K205" s="12">
        <f t="shared" si="13"/>
        <v>1</v>
      </c>
      <c r="L205" s="13" t="str">
        <f t="shared" si="14"/>
        <v>B</v>
      </c>
      <c r="M205" s="12" t="str">
        <f t="shared" si="15"/>
        <v>Desaprobado</v>
      </c>
      <c r="N205" s="15">
        <v>0.8</v>
      </c>
    </row>
    <row r="206" spans="1:14" x14ac:dyDescent="0.25">
      <c r="A206" s="10" t="s">
        <v>19</v>
      </c>
      <c r="B206" s="10" t="s">
        <v>84</v>
      </c>
      <c r="C206" s="10" t="s">
        <v>20</v>
      </c>
      <c r="D206" s="10" t="s">
        <v>79</v>
      </c>
      <c r="E206" s="10">
        <v>3</v>
      </c>
      <c r="F206" s="10">
        <v>1</v>
      </c>
      <c r="G206" s="10">
        <v>2</v>
      </c>
      <c r="H206" s="10">
        <v>0</v>
      </c>
      <c r="I206" s="10">
        <v>3</v>
      </c>
      <c r="J206" s="10">
        <f t="shared" si="12"/>
        <v>1.8</v>
      </c>
      <c r="K206" s="10">
        <f t="shared" si="13"/>
        <v>2</v>
      </c>
      <c r="L206" s="11" t="str">
        <f t="shared" si="14"/>
        <v>A</v>
      </c>
      <c r="M206" s="10" t="str">
        <f t="shared" si="15"/>
        <v>Aprobado</v>
      </c>
      <c r="N206" s="14">
        <v>0.25</v>
      </c>
    </row>
    <row r="207" spans="1:14" x14ac:dyDescent="0.25">
      <c r="A207" s="12" t="s">
        <v>22</v>
      </c>
      <c r="B207" s="12" t="s">
        <v>84</v>
      </c>
      <c r="C207" s="12" t="s">
        <v>23</v>
      </c>
      <c r="D207" s="12" t="s">
        <v>79</v>
      </c>
      <c r="E207" s="12">
        <v>2</v>
      </c>
      <c r="F207" s="12">
        <v>1</v>
      </c>
      <c r="G207" s="12">
        <v>1</v>
      </c>
      <c r="H207" s="12">
        <v>0</v>
      </c>
      <c r="I207" s="12">
        <v>1</v>
      </c>
      <c r="J207" s="12">
        <f t="shared" si="12"/>
        <v>1</v>
      </c>
      <c r="K207" s="12">
        <f t="shared" si="13"/>
        <v>1</v>
      </c>
      <c r="L207" s="13" t="str">
        <f t="shared" si="14"/>
        <v>B</v>
      </c>
      <c r="M207" s="12" t="str">
        <f t="shared" si="15"/>
        <v>Desaprobado</v>
      </c>
      <c r="N207" s="15">
        <v>0.4</v>
      </c>
    </row>
    <row r="208" spans="1:14" x14ac:dyDescent="0.25">
      <c r="A208" s="10" t="s">
        <v>25</v>
      </c>
      <c r="B208" s="10" t="s">
        <v>84</v>
      </c>
      <c r="C208" s="10" t="s">
        <v>26</v>
      </c>
      <c r="D208" s="10" t="s">
        <v>79</v>
      </c>
      <c r="E208" s="10">
        <v>1</v>
      </c>
      <c r="F208" s="10">
        <v>0</v>
      </c>
      <c r="G208" s="10">
        <v>1</v>
      </c>
      <c r="H208" s="10">
        <v>0</v>
      </c>
      <c r="I208" s="10">
        <v>2</v>
      </c>
      <c r="J208" s="10">
        <f t="shared" si="12"/>
        <v>0.8</v>
      </c>
      <c r="K208" s="10">
        <f t="shared" si="13"/>
        <v>1</v>
      </c>
      <c r="L208" s="11" t="str">
        <f t="shared" si="14"/>
        <v>B</v>
      </c>
      <c r="M208" s="10" t="str">
        <f t="shared" si="15"/>
        <v>Desaprobado</v>
      </c>
      <c r="N208" s="14">
        <v>0.7</v>
      </c>
    </row>
    <row r="209" spans="1:14" x14ac:dyDescent="0.25">
      <c r="A209" s="12" t="s">
        <v>28</v>
      </c>
      <c r="B209" s="12" t="s">
        <v>84</v>
      </c>
      <c r="C209" s="12" t="s">
        <v>29</v>
      </c>
      <c r="D209" s="12" t="s">
        <v>79</v>
      </c>
      <c r="E209" s="12">
        <v>3</v>
      </c>
      <c r="F209" s="12">
        <v>0</v>
      </c>
      <c r="G209" s="12">
        <v>2</v>
      </c>
      <c r="H209" s="12">
        <v>3</v>
      </c>
      <c r="I209" s="12">
        <v>0</v>
      </c>
      <c r="J209" s="12">
        <f t="shared" si="12"/>
        <v>1.6</v>
      </c>
      <c r="K209" s="12">
        <f t="shared" si="13"/>
        <v>2</v>
      </c>
      <c r="L209" s="13" t="str">
        <f t="shared" si="14"/>
        <v>A</v>
      </c>
      <c r="M209" s="12" t="str">
        <f t="shared" si="15"/>
        <v>Aprobado</v>
      </c>
      <c r="N209" s="15">
        <v>0.5</v>
      </c>
    </row>
    <row r="210" spans="1:14" x14ac:dyDescent="0.25">
      <c r="A210" s="10" t="s">
        <v>31</v>
      </c>
      <c r="B210" s="10" t="s">
        <v>84</v>
      </c>
      <c r="C210" s="10" t="s">
        <v>32</v>
      </c>
      <c r="D210" s="10" t="s">
        <v>79</v>
      </c>
      <c r="E210" s="10">
        <v>3</v>
      </c>
      <c r="F210" s="10">
        <v>1</v>
      </c>
      <c r="G210" s="10">
        <v>0</v>
      </c>
      <c r="H210" s="10">
        <v>0</v>
      </c>
      <c r="I210" s="10">
        <v>0</v>
      </c>
      <c r="J210" s="10">
        <f t="shared" si="12"/>
        <v>0.8</v>
      </c>
      <c r="K210" s="10">
        <f t="shared" si="13"/>
        <v>1</v>
      </c>
      <c r="L210" s="11" t="str">
        <f t="shared" si="14"/>
        <v>B</v>
      </c>
      <c r="M210" s="10" t="str">
        <f t="shared" si="15"/>
        <v>Desaprobado</v>
      </c>
      <c r="N210" s="14">
        <v>0.7</v>
      </c>
    </row>
    <row r="211" spans="1:14" x14ac:dyDescent="0.25">
      <c r="A211" s="12" t="s">
        <v>33</v>
      </c>
      <c r="B211" s="12" t="s">
        <v>84</v>
      </c>
      <c r="C211" s="12" t="s">
        <v>34</v>
      </c>
      <c r="D211" s="12" t="s">
        <v>79</v>
      </c>
      <c r="E211" s="12">
        <v>3</v>
      </c>
      <c r="F211" s="12">
        <v>0</v>
      </c>
      <c r="G211" s="12">
        <v>2</v>
      </c>
      <c r="H211" s="12">
        <v>2</v>
      </c>
      <c r="I211" s="12">
        <v>1</v>
      </c>
      <c r="J211" s="12">
        <f t="shared" si="12"/>
        <v>1.6</v>
      </c>
      <c r="K211" s="12">
        <f t="shared" si="13"/>
        <v>2</v>
      </c>
      <c r="L211" s="13" t="str">
        <f t="shared" si="14"/>
        <v>A</v>
      </c>
      <c r="M211" s="12" t="str">
        <f t="shared" si="15"/>
        <v>Aprobado</v>
      </c>
      <c r="N211" s="15">
        <v>0.7</v>
      </c>
    </row>
    <row r="212" spans="1:14" x14ac:dyDescent="0.25">
      <c r="A212" s="10" t="s">
        <v>35</v>
      </c>
      <c r="B212" s="10" t="s">
        <v>84</v>
      </c>
      <c r="C212" s="10" t="s">
        <v>36</v>
      </c>
      <c r="D212" s="10" t="s">
        <v>79</v>
      </c>
      <c r="E212" s="10">
        <v>0</v>
      </c>
      <c r="F212" s="10">
        <v>1</v>
      </c>
      <c r="G212" s="10">
        <v>2</v>
      </c>
      <c r="H212" s="10">
        <v>2</v>
      </c>
      <c r="I212" s="10">
        <v>1</v>
      </c>
      <c r="J212" s="10">
        <f t="shared" si="12"/>
        <v>1.2</v>
      </c>
      <c r="K212" s="10">
        <f t="shared" si="13"/>
        <v>1</v>
      </c>
      <c r="L212" s="11" t="str">
        <f t="shared" si="14"/>
        <v>B</v>
      </c>
      <c r="M212" s="10" t="str">
        <f t="shared" si="15"/>
        <v>Desaprobado</v>
      </c>
      <c r="N212" s="14">
        <v>0.57999999999999996</v>
      </c>
    </row>
    <row r="213" spans="1:14" x14ac:dyDescent="0.25">
      <c r="A213" s="12" t="s">
        <v>37</v>
      </c>
      <c r="B213" s="12" t="s">
        <v>84</v>
      </c>
      <c r="C213" s="12" t="s">
        <v>38</v>
      </c>
      <c r="D213" s="12" t="s">
        <v>79</v>
      </c>
      <c r="E213" s="12">
        <v>1</v>
      </c>
      <c r="F213" s="12">
        <v>0</v>
      </c>
      <c r="G213" s="12">
        <v>1</v>
      </c>
      <c r="H213" s="12">
        <v>2</v>
      </c>
      <c r="I213" s="12">
        <v>0</v>
      </c>
      <c r="J213" s="12">
        <f t="shared" si="12"/>
        <v>0.8</v>
      </c>
      <c r="K213" s="12">
        <f t="shared" si="13"/>
        <v>1</v>
      </c>
      <c r="L213" s="13" t="str">
        <f t="shared" si="14"/>
        <v>B</v>
      </c>
      <c r="M213" s="12" t="str">
        <f t="shared" si="15"/>
        <v>Desaprobado</v>
      </c>
      <c r="N213" s="15">
        <v>0.2</v>
      </c>
    </row>
    <row r="214" spans="1:14" x14ac:dyDescent="0.25">
      <c r="A214" s="10" t="s">
        <v>39</v>
      </c>
      <c r="B214" s="10" t="s">
        <v>84</v>
      </c>
      <c r="C214" s="10" t="s">
        <v>40</v>
      </c>
      <c r="D214" s="10" t="s">
        <v>79</v>
      </c>
      <c r="E214" s="10">
        <v>2</v>
      </c>
      <c r="F214" s="10">
        <v>2</v>
      </c>
      <c r="G214" s="10">
        <v>2</v>
      </c>
      <c r="H214" s="10">
        <v>0</v>
      </c>
      <c r="I214" s="10">
        <v>0</v>
      </c>
      <c r="J214" s="10">
        <f t="shared" si="12"/>
        <v>1.2</v>
      </c>
      <c r="K214" s="10">
        <f t="shared" si="13"/>
        <v>1</v>
      </c>
      <c r="L214" s="11" t="str">
        <f t="shared" si="14"/>
        <v>B</v>
      </c>
      <c r="M214" s="10" t="str">
        <f t="shared" si="15"/>
        <v>Desaprobado</v>
      </c>
      <c r="N214" s="14">
        <v>0.65</v>
      </c>
    </row>
    <row r="215" spans="1:14" x14ac:dyDescent="0.25">
      <c r="A215" s="12" t="s">
        <v>41</v>
      </c>
      <c r="B215" s="12" t="s">
        <v>84</v>
      </c>
      <c r="C215" s="12" t="s">
        <v>42</v>
      </c>
      <c r="D215" s="12" t="s">
        <v>79</v>
      </c>
      <c r="E215" s="12">
        <v>3</v>
      </c>
      <c r="F215" s="12">
        <v>2</v>
      </c>
      <c r="G215" s="12">
        <v>2</v>
      </c>
      <c r="H215" s="12">
        <v>3</v>
      </c>
      <c r="I215" s="12">
        <v>1</v>
      </c>
      <c r="J215" s="12">
        <f t="shared" si="12"/>
        <v>2.2000000000000002</v>
      </c>
      <c r="K215" s="12">
        <f t="shared" si="13"/>
        <v>2</v>
      </c>
      <c r="L215" s="13" t="str">
        <f t="shared" si="14"/>
        <v>A</v>
      </c>
      <c r="M215" s="12" t="str">
        <f t="shared" si="15"/>
        <v>Aprobado</v>
      </c>
      <c r="N215" s="15">
        <v>0.7</v>
      </c>
    </row>
    <row r="216" spans="1:14" x14ac:dyDescent="0.25">
      <c r="A216" s="10" t="s">
        <v>43</v>
      </c>
      <c r="B216" s="10" t="s">
        <v>84</v>
      </c>
      <c r="C216" s="10" t="s">
        <v>44</v>
      </c>
      <c r="D216" s="10" t="s">
        <v>79</v>
      </c>
      <c r="E216" s="10">
        <v>3</v>
      </c>
      <c r="F216" s="10">
        <v>0</v>
      </c>
      <c r="G216" s="10">
        <v>0</v>
      </c>
      <c r="H216" s="10">
        <v>3</v>
      </c>
      <c r="I216" s="10">
        <v>3</v>
      </c>
      <c r="J216" s="10">
        <f t="shared" si="12"/>
        <v>1.8</v>
      </c>
      <c r="K216" s="10">
        <f t="shared" si="13"/>
        <v>2</v>
      </c>
      <c r="L216" s="11" t="str">
        <f t="shared" si="14"/>
        <v>A</v>
      </c>
      <c r="M216" s="10" t="str">
        <f t="shared" si="15"/>
        <v>Aprobado</v>
      </c>
      <c r="N216" s="14">
        <v>0.9</v>
      </c>
    </row>
    <row r="217" spans="1:14" x14ac:dyDescent="0.25">
      <c r="A217" s="12" t="s">
        <v>45</v>
      </c>
      <c r="B217" s="12" t="s">
        <v>84</v>
      </c>
      <c r="C217" s="12" t="s">
        <v>46</v>
      </c>
      <c r="D217" s="12" t="s">
        <v>79</v>
      </c>
      <c r="E217" s="12">
        <v>0</v>
      </c>
      <c r="F217" s="12">
        <v>3</v>
      </c>
      <c r="G217" s="12">
        <v>0</v>
      </c>
      <c r="H217" s="12">
        <v>3</v>
      </c>
      <c r="I217" s="12">
        <v>1</v>
      </c>
      <c r="J217" s="12">
        <f t="shared" si="12"/>
        <v>1.4</v>
      </c>
      <c r="K217" s="12">
        <f t="shared" si="13"/>
        <v>1</v>
      </c>
      <c r="L217" s="13" t="str">
        <f t="shared" si="14"/>
        <v>B</v>
      </c>
      <c r="M217" s="12" t="str">
        <f t="shared" si="15"/>
        <v>Desaprobado</v>
      </c>
      <c r="N217" s="15">
        <v>0.45</v>
      </c>
    </row>
    <row r="218" spans="1:14" x14ac:dyDescent="0.25">
      <c r="A218" s="10" t="s">
        <v>47</v>
      </c>
      <c r="B218" s="10" t="s">
        <v>84</v>
      </c>
      <c r="C218" s="10" t="s">
        <v>48</v>
      </c>
      <c r="D218" s="10" t="s">
        <v>79</v>
      </c>
      <c r="E218" s="10">
        <v>2</v>
      </c>
      <c r="F218" s="10">
        <v>3</v>
      </c>
      <c r="G218" s="10">
        <v>0</v>
      </c>
      <c r="H218" s="10">
        <v>3</v>
      </c>
      <c r="I218" s="10">
        <v>0</v>
      </c>
      <c r="J218" s="10">
        <f t="shared" si="12"/>
        <v>1.6</v>
      </c>
      <c r="K218" s="10">
        <f t="shared" si="13"/>
        <v>2</v>
      </c>
      <c r="L218" s="11" t="str">
        <f t="shared" si="14"/>
        <v>A</v>
      </c>
      <c r="M218" s="10" t="str">
        <f t="shared" si="15"/>
        <v>Aprobado</v>
      </c>
      <c r="N218" s="14">
        <v>0.95</v>
      </c>
    </row>
    <row r="219" spans="1:14" x14ac:dyDescent="0.25">
      <c r="A219" s="12" t="s">
        <v>49</v>
      </c>
      <c r="B219" s="12" t="s">
        <v>84</v>
      </c>
      <c r="C219" s="12" t="s">
        <v>50</v>
      </c>
      <c r="D219" s="12" t="s">
        <v>79</v>
      </c>
      <c r="E219" s="12">
        <v>1</v>
      </c>
      <c r="F219" s="12">
        <v>1</v>
      </c>
      <c r="G219" s="12">
        <v>0</v>
      </c>
      <c r="H219" s="12">
        <v>2</v>
      </c>
      <c r="I219" s="12">
        <v>2</v>
      </c>
      <c r="J219" s="12">
        <f t="shared" si="12"/>
        <v>1.2</v>
      </c>
      <c r="K219" s="12">
        <f t="shared" si="13"/>
        <v>1</v>
      </c>
      <c r="L219" s="13" t="str">
        <f t="shared" si="14"/>
        <v>B</v>
      </c>
      <c r="M219" s="12" t="str">
        <f t="shared" si="15"/>
        <v>Desaprobado</v>
      </c>
      <c r="N219" s="15">
        <v>0.6</v>
      </c>
    </row>
    <row r="220" spans="1:14" x14ac:dyDescent="0.25">
      <c r="A220" s="10" t="s">
        <v>51</v>
      </c>
      <c r="B220" s="10" t="s">
        <v>84</v>
      </c>
      <c r="C220" s="10" t="s">
        <v>52</v>
      </c>
      <c r="D220" s="10" t="s">
        <v>79</v>
      </c>
      <c r="E220" s="10">
        <v>0</v>
      </c>
      <c r="F220" s="10">
        <v>2</v>
      </c>
      <c r="G220" s="10">
        <v>1</v>
      </c>
      <c r="H220" s="10">
        <v>1</v>
      </c>
      <c r="I220" s="10">
        <v>1</v>
      </c>
      <c r="J220" s="10">
        <f t="shared" si="12"/>
        <v>1</v>
      </c>
      <c r="K220" s="10">
        <f t="shared" si="13"/>
        <v>1</v>
      </c>
      <c r="L220" s="11" t="str">
        <f t="shared" si="14"/>
        <v>B</v>
      </c>
      <c r="M220" s="10" t="str">
        <f t="shared" si="15"/>
        <v>Desaprobado</v>
      </c>
      <c r="N220" s="14">
        <v>0.1</v>
      </c>
    </row>
    <row r="221" spans="1:14" x14ac:dyDescent="0.25">
      <c r="A221" s="12" t="s">
        <v>53</v>
      </c>
      <c r="B221" s="12" t="s">
        <v>84</v>
      </c>
      <c r="C221" s="12" t="s">
        <v>54</v>
      </c>
      <c r="D221" s="12" t="s">
        <v>79</v>
      </c>
      <c r="E221" s="12">
        <v>1</v>
      </c>
      <c r="F221" s="12">
        <v>3</v>
      </c>
      <c r="G221" s="12">
        <v>0</v>
      </c>
      <c r="H221" s="12">
        <v>1</v>
      </c>
      <c r="I221" s="12">
        <v>1</v>
      </c>
      <c r="J221" s="12">
        <f t="shared" si="12"/>
        <v>1.2</v>
      </c>
      <c r="K221" s="12">
        <f t="shared" si="13"/>
        <v>1</v>
      </c>
      <c r="L221" s="13" t="str">
        <f t="shared" si="14"/>
        <v>B</v>
      </c>
      <c r="M221" s="12" t="str">
        <f t="shared" si="15"/>
        <v>Desaprobado</v>
      </c>
      <c r="N221" s="15">
        <v>0.9</v>
      </c>
    </row>
    <row r="222" spans="1:14" x14ac:dyDescent="0.25">
      <c r="A222" s="10" t="s">
        <v>55</v>
      </c>
      <c r="B222" s="10" t="s">
        <v>84</v>
      </c>
      <c r="C222" s="10" t="s">
        <v>56</v>
      </c>
      <c r="D222" s="10" t="s">
        <v>79</v>
      </c>
      <c r="E222" s="10">
        <v>0</v>
      </c>
      <c r="F222" s="10">
        <v>1</v>
      </c>
      <c r="G222" s="10">
        <v>3</v>
      </c>
      <c r="H222" s="10">
        <v>3</v>
      </c>
      <c r="I222" s="10">
        <v>3</v>
      </c>
      <c r="J222" s="10">
        <f t="shared" si="12"/>
        <v>2</v>
      </c>
      <c r="K222" s="10">
        <f t="shared" si="13"/>
        <v>2</v>
      </c>
      <c r="L222" s="11" t="str">
        <f t="shared" si="14"/>
        <v>A</v>
      </c>
      <c r="M222" s="10" t="str">
        <f t="shared" si="15"/>
        <v>Aprobado</v>
      </c>
      <c r="N222" s="14">
        <v>0.95</v>
      </c>
    </row>
    <row r="223" spans="1:14" x14ac:dyDescent="0.25">
      <c r="A223" s="12" t="s">
        <v>57</v>
      </c>
      <c r="B223" s="12" t="s">
        <v>84</v>
      </c>
      <c r="C223" s="12" t="s">
        <v>58</v>
      </c>
      <c r="D223" s="12" t="s">
        <v>79</v>
      </c>
      <c r="E223" s="12">
        <v>1</v>
      </c>
      <c r="F223" s="12">
        <v>2</v>
      </c>
      <c r="G223" s="12">
        <v>1</v>
      </c>
      <c r="H223" s="12">
        <v>2</v>
      </c>
      <c r="I223" s="12">
        <v>2</v>
      </c>
      <c r="J223" s="12">
        <f t="shared" si="12"/>
        <v>1.6</v>
      </c>
      <c r="K223" s="12">
        <f t="shared" si="13"/>
        <v>2</v>
      </c>
      <c r="L223" s="13" t="str">
        <f t="shared" si="14"/>
        <v>A</v>
      </c>
      <c r="M223" s="12" t="str">
        <f t="shared" si="15"/>
        <v>Aprobado</v>
      </c>
      <c r="N223" s="15">
        <v>0.75</v>
      </c>
    </row>
    <row r="224" spans="1:14" x14ac:dyDescent="0.25">
      <c r="A224" s="10" t="s">
        <v>59</v>
      </c>
      <c r="B224" s="10" t="s">
        <v>84</v>
      </c>
      <c r="C224" s="10" t="s">
        <v>60</v>
      </c>
      <c r="D224" s="10" t="s">
        <v>79</v>
      </c>
      <c r="E224" s="10">
        <v>0</v>
      </c>
      <c r="F224" s="10">
        <v>2</v>
      </c>
      <c r="G224" s="10">
        <v>3</v>
      </c>
      <c r="H224" s="10">
        <v>3</v>
      </c>
      <c r="I224" s="10">
        <v>2</v>
      </c>
      <c r="J224" s="10">
        <f t="shared" si="12"/>
        <v>2</v>
      </c>
      <c r="K224" s="10">
        <f t="shared" si="13"/>
        <v>2</v>
      </c>
      <c r="L224" s="11" t="str">
        <f t="shared" si="14"/>
        <v>A</v>
      </c>
      <c r="M224" s="10" t="str">
        <f t="shared" si="15"/>
        <v>Aprobado</v>
      </c>
      <c r="N224" s="14">
        <v>0.2</v>
      </c>
    </row>
    <row r="225" spans="1:14" x14ac:dyDescent="0.25">
      <c r="A225" s="12" t="s">
        <v>61</v>
      </c>
      <c r="B225" s="12" t="s">
        <v>84</v>
      </c>
      <c r="C225" s="12" t="s">
        <v>62</v>
      </c>
      <c r="D225" s="12" t="s">
        <v>79</v>
      </c>
      <c r="E225" s="12">
        <v>2</v>
      </c>
      <c r="F225" s="12">
        <v>0</v>
      </c>
      <c r="G225" s="12">
        <v>3</v>
      </c>
      <c r="H225" s="12">
        <v>2</v>
      </c>
      <c r="I225" s="12">
        <v>3</v>
      </c>
      <c r="J225" s="12">
        <f t="shared" si="12"/>
        <v>2</v>
      </c>
      <c r="K225" s="12">
        <f t="shared" si="13"/>
        <v>2</v>
      </c>
      <c r="L225" s="13" t="str">
        <f t="shared" si="14"/>
        <v>A</v>
      </c>
      <c r="M225" s="12" t="str">
        <f t="shared" si="15"/>
        <v>Aprobado</v>
      </c>
      <c r="N225" s="15">
        <v>0.95</v>
      </c>
    </row>
    <row r="226" spans="1:14" x14ac:dyDescent="0.25">
      <c r="A226" s="10" t="s">
        <v>63</v>
      </c>
      <c r="B226" s="10" t="s">
        <v>84</v>
      </c>
      <c r="C226" s="10" t="s">
        <v>64</v>
      </c>
      <c r="D226" s="10" t="s">
        <v>79</v>
      </c>
      <c r="E226" s="10">
        <v>1</v>
      </c>
      <c r="F226" s="10">
        <v>3</v>
      </c>
      <c r="G226" s="10">
        <v>2</v>
      </c>
      <c r="H226" s="10">
        <v>0</v>
      </c>
      <c r="I226" s="10">
        <v>1</v>
      </c>
      <c r="J226" s="10">
        <f t="shared" si="12"/>
        <v>1.4</v>
      </c>
      <c r="K226" s="10">
        <f t="shared" si="13"/>
        <v>1</v>
      </c>
      <c r="L226" s="11" t="str">
        <f t="shared" si="14"/>
        <v>B</v>
      </c>
      <c r="M226" s="10" t="str">
        <f t="shared" si="15"/>
        <v>Desaprobado</v>
      </c>
      <c r="N226" s="14">
        <v>0.8</v>
      </c>
    </row>
    <row r="227" spans="1:14" x14ac:dyDescent="0.25">
      <c r="A227" s="12" t="s">
        <v>65</v>
      </c>
      <c r="B227" s="12" t="s">
        <v>84</v>
      </c>
      <c r="C227" s="12" t="s">
        <v>66</v>
      </c>
      <c r="D227" s="12" t="s">
        <v>79</v>
      </c>
      <c r="E227" s="12">
        <v>1</v>
      </c>
      <c r="F227" s="12">
        <v>1</v>
      </c>
      <c r="G227" s="12">
        <v>2</v>
      </c>
      <c r="H227" s="12">
        <v>3</v>
      </c>
      <c r="I227" s="12">
        <v>1</v>
      </c>
      <c r="J227" s="12">
        <f t="shared" si="12"/>
        <v>1.6</v>
      </c>
      <c r="K227" s="12">
        <f t="shared" si="13"/>
        <v>2</v>
      </c>
      <c r="L227" s="13" t="str">
        <f t="shared" si="14"/>
        <v>A</v>
      </c>
      <c r="M227" s="12" t="str">
        <f t="shared" si="15"/>
        <v>Aprobado</v>
      </c>
      <c r="N227" s="15">
        <v>0.25</v>
      </c>
    </row>
    <row r="228" spans="1:14" x14ac:dyDescent="0.25">
      <c r="A228" s="10" t="s">
        <v>67</v>
      </c>
      <c r="B228" s="10" t="s">
        <v>84</v>
      </c>
      <c r="C228" s="10" t="s">
        <v>68</v>
      </c>
      <c r="D228" s="10" t="s">
        <v>79</v>
      </c>
      <c r="E228" s="10">
        <v>0</v>
      </c>
      <c r="F228" s="10">
        <v>2</v>
      </c>
      <c r="G228" s="10">
        <v>2</v>
      </c>
      <c r="H228" s="10">
        <v>3</v>
      </c>
      <c r="I228" s="10">
        <v>3</v>
      </c>
      <c r="J228" s="10">
        <f t="shared" si="12"/>
        <v>2</v>
      </c>
      <c r="K228" s="10">
        <f t="shared" si="13"/>
        <v>2</v>
      </c>
      <c r="L228" s="11" t="str">
        <f t="shared" si="14"/>
        <v>A</v>
      </c>
      <c r="M228" s="10" t="str">
        <f t="shared" si="15"/>
        <v>Aprobado</v>
      </c>
      <c r="N228" s="14">
        <v>0.4</v>
      </c>
    </row>
    <row r="229" spans="1:14" x14ac:dyDescent="0.25">
      <c r="A229" s="12" t="s">
        <v>69</v>
      </c>
      <c r="B229" s="12" t="s">
        <v>84</v>
      </c>
      <c r="C229" s="12" t="s">
        <v>70</v>
      </c>
      <c r="D229" s="12" t="s">
        <v>79</v>
      </c>
      <c r="E229" s="12">
        <v>2</v>
      </c>
      <c r="F229" s="12">
        <v>2</v>
      </c>
      <c r="G229" s="12">
        <v>2</v>
      </c>
      <c r="H229" s="12">
        <v>2</v>
      </c>
      <c r="I229" s="12">
        <v>3</v>
      </c>
      <c r="J229" s="12">
        <f t="shared" si="12"/>
        <v>2.2000000000000002</v>
      </c>
      <c r="K229" s="12">
        <f t="shared" si="13"/>
        <v>2</v>
      </c>
      <c r="L229" s="13" t="str">
        <f t="shared" si="14"/>
        <v>A</v>
      </c>
      <c r="M229" s="12" t="str">
        <f t="shared" si="15"/>
        <v>Aprobado</v>
      </c>
      <c r="N229" s="15">
        <v>0.4</v>
      </c>
    </row>
    <row r="230" spans="1:14" x14ac:dyDescent="0.25">
      <c r="A230" s="10" t="s">
        <v>71</v>
      </c>
      <c r="B230" s="10" t="s">
        <v>84</v>
      </c>
      <c r="C230" s="10" t="s">
        <v>72</v>
      </c>
      <c r="D230" s="10" t="s">
        <v>79</v>
      </c>
      <c r="E230" s="10">
        <v>3</v>
      </c>
      <c r="F230" s="10">
        <v>1</v>
      </c>
      <c r="G230" s="10">
        <v>3</v>
      </c>
      <c r="H230" s="10">
        <v>3</v>
      </c>
      <c r="I230" s="10">
        <v>0</v>
      </c>
      <c r="J230" s="10">
        <f t="shared" si="12"/>
        <v>2</v>
      </c>
      <c r="K230" s="10">
        <f t="shared" si="13"/>
        <v>2</v>
      </c>
      <c r="L230" s="11" t="str">
        <f t="shared" si="14"/>
        <v>A</v>
      </c>
      <c r="M230" s="10" t="str">
        <f t="shared" si="15"/>
        <v>Aprobado</v>
      </c>
      <c r="N230" s="14">
        <v>0.5</v>
      </c>
    </row>
    <row r="231" spans="1:14" x14ac:dyDescent="0.25">
      <c r="A231" s="12" t="s">
        <v>73</v>
      </c>
      <c r="B231" s="12" t="s">
        <v>84</v>
      </c>
      <c r="C231" s="12" t="s">
        <v>74</v>
      </c>
      <c r="D231" s="12" t="s">
        <v>79</v>
      </c>
      <c r="E231" s="12">
        <v>0</v>
      </c>
      <c r="F231" s="12">
        <v>1</v>
      </c>
      <c r="G231" s="12">
        <v>3</v>
      </c>
      <c r="H231" s="12">
        <v>0</v>
      </c>
      <c r="I231" s="12">
        <v>1</v>
      </c>
      <c r="J231" s="12">
        <f t="shared" si="12"/>
        <v>1</v>
      </c>
      <c r="K231" s="12">
        <f t="shared" si="13"/>
        <v>1</v>
      </c>
      <c r="L231" s="13" t="str">
        <f t="shared" si="14"/>
        <v>B</v>
      </c>
      <c r="M231" s="12" t="str">
        <f t="shared" si="15"/>
        <v>Desaprobado</v>
      </c>
      <c r="N231" s="15">
        <v>0.7</v>
      </c>
    </row>
    <row r="232" spans="1:14" x14ac:dyDescent="0.25">
      <c r="A232" s="10" t="s">
        <v>75</v>
      </c>
      <c r="B232" s="10" t="s">
        <v>84</v>
      </c>
      <c r="C232" s="10" t="s">
        <v>76</v>
      </c>
      <c r="D232" s="10" t="s">
        <v>79</v>
      </c>
      <c r="E232" s="10">
        <v>1</v>
      </c>
      <c r="F232" s="10">
        <v>2</v>
      </c>
      <c r="G232" s="10">
        <v>3</v>
      </c>
      <c r="H232" s="10">
        <v>2</v>
      </c>
      <c r="I232" s="10">
        <v>2</v>
      </c>
      <c r="J232" s="10">
        <f t="shared" si="12"/>
        <v>2</v>
      </c>
      <c r="K232" s="10">
        <f t="shared" si="13"/>
        <v>2</v>
      </c>
      <c r="L232" s="11" t="str">
        <f t="shared" si="14"/>
        <v>A</v>
      </c>
      <c r="M232" s="10" t="str">
        <f t="shared" si="15"/>
        <v>Aprobado</v>
      </c>
      <c r="N232" s="14">
        <v>0.7</v>
      </c>
    </row>
    <row r="233" spans="1:14" x14ac:dyDescent="0.25">
      <c r="A233" s="12" t="s">
        <v>77</v>
      </c>
      <c r="B233" s="12" t="s">
        <v>84</v>
      </c>
      <c r="C233" s="12" t="s">
        <v>78</v>
      </c>
      <c r="D233" s="12" t="s">
        <v>79</v>
      </c>
      <c r="E233" s="12">
        <v>1</v>
      </c>
      <c r="F233" s="12">
        <v>2</v>
      </c>
      <c r="G233" s="12">
        <v>1</v>
      </c>
      <c r="H233" s="12">
        <v>1</v>
      </c>
      <c r="I233" s="12">
        <v>2</v>
      </c>
      <c r="J233" s="12">
        <f t="shared" si="12"/>
        <v>1.4</v>
      </c>
      <c r="K233" s="12">
        <f t="shared" si="13"/>
        <v>1</v>
      </c>
      <c r="L233" s="13" t="str">
        <f t="shared" si="14"/>
        <v>B</v>
      </c>
      <c r="M233" s="12" t="str">
        <f t="shared" si="15"/>
        <v>Desaprobado</v>
      </c>
      <c r="N233" s="15">
        <v>0.25</v>
      </c>
    </row>
    <row r="234" spans="1:14" x14ac:dyDescent="0.25">
      <c r="A234" s="10" t="s">
        <v>14</v>
      </c>
      <c r="B234" s="10" t="s">
        <v>84</v>
      </c>
      <c r="C234" s="10" t="s">
        <v>16</v>
      </c>
      <c r="D234" s="10" t="s">
        <v>80</v>
      </c>
      <c r="E234" s="10">
        <v>0</v>
      </c>
      <c r="F234" s="10">
        <v>1</v>
      </c>
      <c r="G234" s="10">
        <v>3</v>
      </c>
      <c r="H234" s="10">
        <v>2</v>
      </c>
      <c r="I234" s="10">
        <v>0</v>
      </c>
      <c r="J234" s="10">
        <f t="shared" si="12"/>
        <v>1.2</v>
      </c>
      <c r="K234" s="10">
        <f t="shared" si="13"/>
        <v>1</v>
      </c>
      <c r="L234" s="11" t="str">
        <f t="shared" si="14"/>
        <v>B</v>
      </c>
      <c r="M234" s="10" t="str">
        <f t="shared" si="15"/>
        <v>Desaprobado</v>
      </c>
      <c r="N234" s="14">
        <v>0.2</v>
      </c>
    </row>
    <row r="235" spans="1:14" x14ac:dyDescent="0.25">
      <c r="A235" s="12" t="s">
        <v>19</v>
      </c>
      <c r="B235" s="12" t="s">
        <v>84</v>
      </c>
      <c r="C235" s="12" t="s">
        <v>20</v>
      </c>
      <c r="D235" s="12" t="s">
        <v>80</v>
      </c>
      <c r="E235" s="12">
        <v>2</v>
      </c>
      <c r="F235" s="12">
        <v>1</v>
      </c>
      <c r="G235" s="12">
        <v>3</v>
      </c>
      <c r="H235" s="12">
        <v>1</v>
      </c>
      <c r="I235" s="12">
        <v>3</v>
      </c>
      <c r="J235" s="12">
        <f t="shared" si="12"/>
        <v>2</v>
      </c>
      <c r="K235" s="12">
        <f t="shared" si="13"/>
        <v>2</v>
      </c>
      <c r="L235" s="13" t="str">
        <f t="shared" si="14"/>
        <v>A</v>
      </c>
      <c r="M235" s="12" t="str">
        <f t="shared" si="15"/>
        <v>Aprobado</v>
      </c>
      <c r="N235" s="15">
        <v>0.65</v>
      </c>
    </row>
    <row r="236" spans="1:14" x14ac:dyDescent="0.25">
      <c r="A236" s="10" t="s">
        <v>22</v>
      </c>
      <c r="B236" s="10" t="s">
        <v>84</v>
      </c>
      <c r="C236" s="10" t="s">
        <v>23</v>
      </c>
      <c r="D236" s="10" t="s">
        <v>80</v>
      </c>
      <c r="E236" s="10">
        <v>3</v>
      </c>
      <c r="F236" s="10">
        <v>2</v>
      </c>
      <c r="G236" s="10">
        <v>0</v>
      </c>
      <c r="H236" s="10">
        <v>1</v>
      </c>
      <c r="I236" s="10">
        <v>2</v>
      </c>
      <c r="J236" s="10">
        <f t="shared" si="12"/>
        <v>1.6</v>
      </c>
      <c r="K236" s="10">
        <f t="shared" si="13"/>
        <v>2</v>
      </c>
      <c r="L236" s="11" t="str">
        <f t="shared" si="14"/>
        <v>A</v>
      </c>
      <c r="M236" s="10" t="str">
        <f t="shared" si="15"/>
        <v>Aprobado</v>
      </c>
      <c r="N236" s="14">
        <v>0.7</v>
      </c>
    </row>
    <row r="237" spans="1:14" x14ac:dyDescent="0.25">
      <c r="A237" s="12" t="s">
        <v>25</v>
      </c>
      <c r="B237" s="12" t="s">
        <v>84</v>
      </c>
      <c r="C237" s="12" t="s">
        <v>26</v>
      </c>
      <c r="D237" s="12" t="s">
        <v>80</v>
      </c>
      <c r="E237" s="12">
        <v>3</v>
      </c>
      <c r="F237" s="12">
        <v>1</v>
      </c>
      <c r="G237" s="12">
        <v>1</v>
      </c>
      <c r="H237" s="12">
        <v>3</v>
      </c>
      <c r="I237" s="12">
        <v>3</v>
      </c>
      <c r="J237" s="12">
        <f t="shared" si="12"/>
        <v>2.2000000000000002</v>
      </c>
      <c r="K237" s="12">
        <f t="shared" si="13"/>
        <v>2</v>
      </c>
      <c r="L237" s="13" t="str">
        <f t="shared" si="14"/>
        <v>A</v>
      </c>
      <c r="M237" s="12" t="str">
        <f t="shared" si="15"/>
        <v>Aprobado</v>
      </c>
      <c r="N237" s="15">
        <v>0.9</v>
      </c>
    </row>
    <row r="238" spans="1:14" x14ac:dyDescent="0.25">
      <c r="A238" s="10" t="s">
        <v>28</v>
      </c>
      <c r="B238" s="10" t="s">
        <v>84</v>
      </c>
      <c r="C238" s="10" t="s">
        <v>29</v>
      </c>
      <c r="D238" s="10" t="s">
        <v>80</v>
      </c>
      <c r="E238" s="10">
        <v>0</v>
      </c>
      <c r="F238" s="10">
        <v>1</v>
      </c>
      <c r="G238" s="10">
        <v>3</v>
      </c>
      <c r="H238" s="10">
        <v>2</v>
      </c>
      <c r="I238" s="10">
        <v>2</v>
      </c>
      <c r="J238" s="10">
        <f t="shared" si="12"/>
        <v>1.6</v>
      </c>
      <c r="K238" s="10">
        <f t="shared" si="13"/>
        <v>2</v>
      </c>
      <c r="L238" s="11" t="str">
        <f t="shared" si="14"/>
        <v>A</v>
      </c>
      <c r="M238" s="10" t="str">
        <f t="shared" si="15"/>
        <v>Aprobado</v>
      </c>
      <c r="N238" s="14">
        <v>0.7</v>
      </c>
    </row>
    <row r="239" spans="1:14" x14ac:dyDescent="0.25">
      <c r="A239" s="12" t="s">
        <v>31</v>
      </c>
      <c r="B239" s="12" t="s">
        <v>84</v>
      </c>
      <c r="C239" s="12" t="s">
        <v>32</v>
      </c>
      <c r="D239" s="12" t="s">
        <v>80</v>
      </c>
      <c r="E239" s="12">
        <v>1</v>
      </c>
      <c r="F239" s="12">
        <v>2</v>
      </c>
      <c r="G239" s="12">
        <v>0</v>
      </c>
      <c r="H239" s="12">
        <v>2</v>
      </c>
      <c r="I239" s="12">
        <v>3</v>
      </c>
      <c r="J239" s="12">
        <f t="shared" si="12"/>
        <v>1.6</v>
      </c>
      <c r="K239" s="12">
        <f t="shared" si="13"/>
        <v>2</v>
      </c>
      <c r="L239" s="13" t="str">
        <f t="shared" si="14"/>
        <v>A</v>
      </c>
      <c r="M239" s="12" t="str">
        <f t="shared" si="15"/>
        <v>Aprobado</v>
      </c>
      <c r="N239" s="15">
        <v>0.95</v>
      </c>
    </row>
    <row r="240" spans="1:14" x14ac:dyDescent="0.25">
      <c r="A240" s="10" t="s">
        <v>33</v>
      </c>
      <c r="B240" s="10" t="s">
        <v>84</v>
      </c>
      <c r="C240" s="10" t="s">
        <v>34</v>
      </c>
      <c r="D240" s="10" t="s">
        <v>80</v>
      </c>
      <c r="E240" s="10">
        <v>0</v>
      </c>
      <c r="F240" s="10">
        <v>2</v>
      </c>
      <c r="G240" s="10">
        <v>2</v>
      </c>
      <c r="H240" s="10">
        <v>3</v>
      </c>
      <c r="I240" s="10">
        <v>3</v>
      </c>
      <c r="J240" s="10">
        <f t="shared" si="12"/>
        <v>2</v>
      </c>
      <c r="K240" s="10">
        <f t="shared" si="13"/>
        <v>2</v>
      </c>
      <c r="L240" s="11" t="str">
        <f t="shared" si="14"/>
        <v>A</v>
      </c>
      <c r="M240" s="10" t="str">
        <f t="shared" si="15"/>
        <v>Aprobado</v>
      </c>
      <c r="N240" s="14">
        <v>0.6</v>
      </c>
    </row>
    <row r="241" spans="1:14" x14ac:dyDescent="0.25">
      <c r="A241" s="12" t="s">
        <v>35</v>
      </c>
      <c r="B241" s="12" t="s">
        <v>84</v>
      </c>
      <c r="C241" s="12" t="s">
        <v>36</v>
      </c>
      <c r="D241" s="12" t="s">
        <v>80</v>
      </c>
      <c r="E241" s="12">
        <v>2</v>
      </c>
      <c r="F241" s="12">
        <v>1</v>
      </c>
      <c r="G241" s="12">
        <v>2</v>
      </c>
      <c r="H241" s="12">
        <v>3</v>
      </c>
      <c r="I241" s="12">
        <v>0</v>
      </c>
      <c r="J241" s="12">
        <f t="shared" si="12"/>
        <v>1.6</v>
      </c>
      <c r="K241" s="12">
        <f t="shared" si="13"/>
        <v>2</v>
      </c>
      <c r="L241" s="13" t="str">
        <f t="shared" si="14"/>
        <v>A</v>
      </c>
      <c r="M241" s="12" t="str">
        <f t="shared" si="15"/>
        <v>Aprobado</v>
      </c>
      <c r="N241" s="15">
        <v>0.1</v>
      </c>
    </row>
    <row r="242" spans="1:14" x14ac:dyDescent="0.25">
      <c r="A242" s="10" t="s">
        <v>37</v>
      </c>
      <c r="B242" s="10" t="s">
        <v>84</v>
      </c>
      <c r="C242" s="10" t="s">
        <v>38</v>
      </c>
      <c r="D242" s="10" t="s">
        <v>80</v>
      </c>
      <c r="E242" s="10">
        <v>3</v>
      </c>
      <c r="F242" s="10">
        <v>0</v>
      </c>
      <c r="G242" s="10">
        <v>0</v>
      </c>
      <c r="H242" s="10">
        <v>2</v>
      </c>
      <c r="I242" s="10">
        <v>0</v>
      </c>
      <c r="J242" s="10">
        <f t="shared" si="12"/>
        <v>1</v>
      </c>
      <c r="K242" s="10">
        <f t="shared" si="13"/>
        <v>1</v>
      </c>
      <c r="L242" s="11" t="str">
        <f t="shared" si="14"/>
        <v>B</v>
      </c>
      <c r="M242" s="10" t="str">
        <f t="shared" si="15"/>
        <v>Desaprobado</v>
      </c>
      <c r="N242" s="14">
        <v>0.9</v>
      </c>
    </row>
    <row r="243" spans="1:14" x14ac:dyDescent="0.25">
      <c r="A243" s="12" t="s">
        <v>39</v>
      </c>
      <c r="B243" s="12" t="s">
        <v>84</v>
      </c>
      <c r="C243" s="12" t="s">
        <v>40</v>
      </c>
      <c r="D243" s="12" t="s">
        <v>80</v>
      </c>
      <c r="E243" s="12">
        <v>0</v>
      </c>
      <c r="F243" s="12">
        <v>3</v>
      </c>
      <c r="G243" s="12">
        <v>1</v>
      </c>
      <c r="H243" s="12">
        <v>3</v>
      </c>
      <c r="I243" s="12">
        <v>3</v>
      </c>
      <c r="J243" s="12">
        <f t="shared" si="12"/>
        <v>2</v>
      </c>
      <c r="K243" s="12">
        <f t="shared" si="13"/>
        <v>2</v>
      </c>
      <c r="L243" s="13" t="str">
        <f t="shared" si="14"/>
        <v>A</v>
      </c>
      <c r="M243" s="12" t="str">
        <f t="shared" si="15"/>
        <v>Aprobado</v>
      </c>
      <c r="N243" s="15">
        <v>0.95</v>
      </c>
    </row>
    <row r="244" spans="1:14" x14ac:dyDescent="0.25">
      <c r="A244" s="10" t="s">
        <v>41</v>
      </c>
      <c r="B244" s="10" t="s">
        <v>84</v>
      </c>
      <c r="C244" s="10" t="s">
        <v>42</v>
      </c>
      <c r="D244" s="10" t="s">
        <v>80</v>
      </c>
      <c r="E244" s="10">
        <v>1</v>
      </c>
      <c r="F244" s="10">
        <v>1</v>
      </c>
      <c r="G244" s="10">
        <v>0</v>
      </c>
      <c r="H244" s="10">
        <v>2</v>
      </c>
      <c r="I244" s="10">
        <v>2</v>
      </c>
      <c r="J244" s="10">
        <f t="shared" si="12"/>
        <v>1.2</v>
      </c>
      <c r="K244" s="10">
        <f t="shared" si="13"/>
        <v>1</v>
      </c>
      <c r="L244" s="11" t="str">
        <f t="shared" si="14"/>
        <v>B</v>
      </c>
      <c r="M244" s="10" t="str">
        <f t="shared" si="15"/>
        <v>Desaprobado</v>
      </c>
      <c r="N244" s="14">
        <v>0.6</v>
      </c>
    </row>
    <row r="245" spans="1:14" x14ac:dyDescent="0.25">
      <c r="A245" s="12" t="s">
        <v>43</v>
      </c>
      <c r="B245" s="12" t="s">
        <v>84</v>
      </c>
      <c r="C245" s="12" t="s">
        <v>44</v>
      </c>
      <c r="D245" s="12" t="s">
        <v>80</v>
      </c>
      <c r="E245" s="12">
        <v>2</v>
      </c>
      <c r="F245" s="12">
        <v>1</v>
      </c>
      <c r="G245" s="12">
        <v>2</v>
      </c>
      <c r="H245" s="12">
        <v>3</v>
      </c>
      <c r="I245" s="12">
        <v>1</v>
      </c>
      <c r="J245" s="12">
        <f t="shared" si="12"/>
        <v>1.8</v>
      </c>
      <c r="K245" s="12">
        <f t="shared" si="13"/>
        <v>2</v>
      </c>
      <c r="L245" s="13" t="str">
        <f t="shared" si="14"/>
        <v>A</v>
      </c>
      <c r="M245" s="12" t="str">
        <f t="shared" si="15"/>
        <v>Aprobado</v>
      </c>
      <c r="N245" s="15">
        <v>0.2</v>
      </c>
    </row>
    <row r="246" spans="1:14" x14ac:dyDescent="0.25">
      <c r="A246" s="10" t="s">
        <v>45</v>
      </c>
      <c r="B246" s="10" t="s">
        <v>84</v>
      </c>
      <c r="C246" s="10" t="s">
        <v>46</v>
      </c>
      <c r="D246" s="10" t="s">
        <v>80</v>
      </c>
      <c r="E246" s="10">
        <v>1</v>
      </c>
      <c r="F246" s="10">
        <v>1</v>
      </c>
      <c r="G246" s="10">
        <v>1</v>
      </c>
      <c r="H246" s="10">
        <v>0</v>
      </c>
      <c r="I246" s="10">
        <v>0</v>
      </c>
      <c r="J246" s="10">
        <f t="shared" si="12"/>
        <v>0.6</v>
      </c>
      <c r="K246" s="10">
        <f t="shared" si="13"/>
        <v>1</v>
      </c>
      <c r="L246" s="11" t="str">
        <f t="shared" si="14"/>
        <v>B</v>
      </c>
      <c r="M246" s="10" t="str">
        <f t="shared" si="15"/>
        <v>Desaprobado</v>
      </c>
      <c r="N246" s="14">
        <v>0.95</v>
      </c>
    </row>
    <row r="247" spans="1:14" x14ac:dyDescent="0.25">
      <c r="A247" s="12" t="s">
        <v>47</v>
      </c>
      <c r="B247" s="12" t="s">
        <v>84</v>
      </c>
      <c r="C247" s="12" t="s">
        <v>48</v>
      </c>
      <c r="D247" s="12" t="s">
        <v>80</v>
      </c>
      <c r="E247" s="12">
        <v>2</v>
      </c>
      <c r="F247" s="12">
        <v>0</v>
      </c>
      <c r="G247" s="12">
        <v>3</v>
      </c>
      <c r="H247" s="12">
        <v>1</v>
      </c>
      <c r="I247" s="12">
        <v>2</v>
      </c>
      <c r="J247" s="12">
        <f t="shared" si="12"/>
        <v>1.6</v>
      </c>
      <c r="K247" s="12">
        <f t="shared" si="13"/>
        <v>2</v>
      </c>
      <c r="L247" s="13" t="str">
        <f t="shared" si="14"/>
        <v>A</v>
      </c>
      <c r="M247" s="12" t="str">
        <f t="shared" si="15"/>
        <v>Aprobado</v>
      </c>
      <c r="N247" s="15">
        <v>0.8</v>
      </c>
    </row>
    <row r="248" spans="1:14" x14ac:dyDescent="0.25">
      <c r="A248" s="10" t="s">
        <v>49</v>
      </c>
      <c r="B248" s="10" t="s">
        <v>84</v>
      </c>
      <c r="C248" s="10" t="s">
        <v>50</v>
      </c>
      <c r="D248" s="10" t="s">
        <v>80</v>
      </c>
      <c r="E248" s="10">
        <v>2</v>
      </c>
      <c r="F248" s="10">
        <v>0</v>
      </c>
      <c r="G248" s="10">
        <v>0</v>
      </c>
      <c r="H248" s="10">
        <v>2</v>
      </c>
      <c r="I248" s="10">
        <v>2</v>
      </c>
      <c r="J248" s="10">
        <f t="shared" si="12"/>
        <v>1.2</v>
      </c>
      <c r="K248" s="10">
        <f t="shared" si="13"/>
        <v>1</v>
      </c>
      <c r="L248" s="11" t="str">
        <f t="shared" si="14"/>
        <v>B</v>
      </c>
      <c r="M248" s="10" t="str">
        <f t="shared" si="15"/>
        <v>Desaprobado</v>
      </c>
      <c r="N248" s="14">
        <v>0.25</v>
      </c>
    </row>
    <row r="249" spans="1:14" x14ac:dyDescent="0.25">
      <c r="A249" s="12" t="s">
        <v>51</v>
      </c>
      <c r="B249" s="12" t="s">
        <v>84</v>
      </c>
      <c r="C249" s="12" t="s">
        <v>52</v>
      </c>
      <c r="D249" s="12" t="s">
        <v>80</v>
      </c>
      <c r="E249" s="12">
        <v>0</v>
      </c>
      <c r="F249" s="12">
        <v>0</v>
      </c>
      <c r="G249" s="12">
        <v>3</v>
      </c>
      <c r="H249" s="12">
        <v>2</v>
      </c>
      <c r="I249" s="12">
        <v>3</v>
      </c>
      <c r="J249" s="12">
        <f t="shared" si="12"/>
        <v>1.6</v>
      </c>
      <c r="K249" s="12">
        <f t="shared" si="13"/>
        <v>2</v>
      </c>
      <c r="L249" s="13" t="str">
        <f t="shared" si="14"/>
        <v>A</v>
      </c>
      <c r="M249" s="12" t="str">
        <f t="shared" si="15"/>
        <v>Aprobado</v>
      </c>
      <c r="N249" s="15">
        <v>0.4</v>
      </c>
    </row>
    <row r="250" spans="1:14" x14ac:dyDescent="0.25">
      <c r="A250" s="10" t="s">
        <v>53</v>
      </c>
      <c r="B250" s="10" t="s">
        <v>84</v>
      </c>
      <c r="C250" s="10" t="s">
        <v>54</v>
      </c>
      <c r="D250" s="10" t="s">
        <v>80</v>
      </c>
      <c r="E250" s="10">
        <v>3</v>
      </c>
      <c r="F250" s="10">
        <v>1</v>
      </c>
      <c r="G250" s="10">
        <v>0</v>
      </c>
      <c r="H250" s="10">
        <v>1</v>
      </c>
      <c r="I250" s="10">
        <v>0</v>
      </c>
      <c r="J250" s="10">
        <f t="shared" si="12"/>
        <v>1</v>
      </c>
      <c r="K250" s="10">
        <f t="shared" si="13"/>
        <v>1</v>
      </c>
      <c r="L250" s="11" t="str">
        <f t="shared" si="14"/>
        <v>B</v>
      </c>
      <c r="M250" s="10" t="str">
        <f t="shared" si="15"/>
        <v>Desaprobado</v>
      </c>
      <c r="N250" s="14">
        <v>0.4</v>
      </c>
    </row>
    <row r="251" spans="1:14" x14ac:dyDescent="0.25">
      <c r="A251" s="12" t="s">
        <v>55</v>
      </c>
      <c r="B251" s="12" t="s">
        <v>84</v>
      </c>
      <c r="C251" s="12" t="s">
        <v>56</v>
      </c>
      <c r="D251" s="12" t="s">
        <v>80</v>
      </c>
      <c r="E251" s="12">
        <v>3</v>
      </c>
      <c r="F251" s="12">
        <v>3</v>
      </c>
      <c r="G251" s="12">
        <v>0</v>
      </c>
      <c r="H251" s="12">
        <v>0</v>
      </c>
      <c r="I251" s="12">
        <v>1</v>
      </c>
      <c r="J251" s="12">
        <f t="shared" si="12"/>
        <v>1.4</v>
      </c>
      <c r="K251" s="12">
        <f t="shared" si="13"/>
        <v>1</v>
      </c>
      <c r="L251" s="13" t="str">
        <f t="shared" si="14"/>
        <v>B</v>
      </c>
      <c r="M251" s="12" t="str">
        <f t="shared" si="15"/>
        <v>Desaprobado</v>
      </c>
      <c r="N251" s="15">
        <v>0.5</v>
      </c>
    </row>
    <row r="252" spans="1:14" x14ac:dyDescent="0.25">
      <c r="A252" s="10" t="s">
        <v>57</v>
      </c>
      <c r="B252" s="10" t="s">
        <v>84</v>
      </c>
      <c r="C252" s="10" t="s">
        <v>58</v>
      </c>
      <c r="D252" s="10" t="s">
        <v>80</v>
      </c>
      <c r="E252" s="10">
        <v>2</v>
      </c>
      <c r="F252" s="10">
        <v>0</v>
      </c>
      <c r="G252" s="10">
        <v>1</v>
      </c>
      <c r="H252" s="10">
        <v>0</v>
      </c>
      <c r="I252" s="10">
        <v>3</v>
      </c>
      <c r="J252" s="10">
        <f t="shared" si="12"/>
        <v>1.2</v>
      </c>
      <c r="K252" s="10">
        <f t="shared" si="13"/>
        <v>1</v>
      </c>
      <c r="L252" s="11" t="str">
        <f t="shared" si="14"/>
        <v>B</v>
      </c>
      <c r="M252" s="10" t="str">
        <f t="shared" si="15"/>
        <v>Desaprobado</v>
      </c>
      <c r="N252" s="14">
        <v>0.7</v>
      </c>
    </row>
    <row r="253" spans="1:14" x14ac:dyDescent="0.25">
      <c r="A253" s="12" t="s">
        <v>59</v>
      </c>
      <c r="B253" s="12" t="s">
        <v>84</v>
      </c>
      <c r="C253" s="12" t="s">
        <v>60</v>
      </c>
      <c r="D253" s="12" t="s">
        <v>80</v>
      </c>
      <c r="E253" s="12">
        <v>0</v>
      </c>
      <c r="F253" s="12">
        <v>3</v>
      </c>
      <c r="G253" s="12">
        <v>1</v>
      </c>
      <c r="H253" s="12">
        <v>2</v>
      </c>
      <c r="I253" s="12">
        <v>3</v>
      </c>
      <c r="J253" s="12">
        <f t="shared" si="12"/>
        <v>1.8</v>
      </c>
      <c r="K253" s="12">
        <f t="shared" si="13"/>
        <v>2</v>
      </c>
      <c r="L253" s="13" t="str">
        <f t="shared" si="14"/>
        <v>A</v>
      </c>
      <c r="M253" s="12" t="str">
        <f t="shared" si="15"/>
        <v>Aprobado</v>
      </c>
      <c r="N253" s="15">
        <v>0.7</v>
      </c>
    </row>
    <row r="254" spans="1:14" x14ac:dyDescent="0.25">
      <c r="A254" s="10" t="s">
        <v>61</v>
      </c>
      <c r="B254" s="10" t="s">
        <v>84</v>
      </c>
      <c r="C254" s="10" t="s">
        <v>62</v>
      </c>
      <c r="D254" s="10" t="s">
        <v>80</v>
      </c>
      <c r="E254" s="10">
        <v>2</v>
      </c>
      <c r="F254" s="10">
        <v>2</v>
      </c>
      <c r="G254" s="10">
        <v>0</v>
      </c>
      <c r="H254" s="10">
        <v>2</v>
      </c>
      <c r="I254" s="10">
        <v>2</v>
      </c>
      <c r="J254" s="10">
        <f t="shared" si="12"/>
        <v>1.6</v>
      </c>
      <c r="K254" s="10">
        <f t="shared" si="13"/>
        <v>2</v>
      </c>
      <c r="L254" s="11" t="str">
        <f t="shared" si="14"/>
        <v>A</v>
      </c>
      <c r="M254" s="10" t="str">
        <f t="shared" si="15"/>
        <v>Aprobado</v>
      </c>
      <c r="N254" s="14">
        <v>0.25</v>
      </c>
    </row>
    <row r="255" spans="1:14" x14ac:dyDescent="0.25">
      <c r="A255" s="12" t="s">
        <v>63</v>
      </c>
      <c r="B255" s="12" t="s">
        <v>84</v>
      </c>
      <c r="C255" s="12" t="s">
        <v>64</v>
      </c>
      <c r="D255" s="12" t="s">
        <v>80</v>
      </c>
      <c r="E255" s="12">
        <v>3</v>
      </c>
      <c r="F255" s="12">
        <v>1</v>
      </c>
      <c r="G255" s="12">
        <v>2</v>
      </c>
      <c r="H255" s="12">
        <v>3</v>
      </c>
      <c r="I255" s="12">
        <v>3</v>
      </c>
      <c r="J255" s="12">
        <f t="shared" si="12"/>
        <v>2.4</v>
      </c>
      <c r="K255" s="12">
        <f t="shared" si="13"/>
        <v>2</v>
      </c>
      <c r="L255" s="13" t="str">
        <f t="shared" si="14"/>
        <v>A</v>
      </c>
      <c r="M255" s="12" t="str">
        <f t="shared" si="15"/>
        <v>Aprobado</v>
      </c>
      <c r="N255" s="15">
        <v>0.2</v>
      </c>
    </row>
    <row r="256" spans="1:14" x14ac:dyDescent="0.25">
      <c r="A256" s="10" t="s">
        <v>65</v>
      </c>
      <c r="B256" s="10" t="s">
        <v>84</v>
      </c>
      <c r="C256" s="10" t="s">
        <v>66</v>
      </c>
      <c r="D256" s="10" t="s">
        <v>80</v>
      </c>
      <c r="E256" s="10">
        <v>3</v>
      </c>
      <c r="F256" s="10">
        <v>0</v>
      </c>
      <c r="G256" s="10">
        <v>0</v>
      </c>
      <c r="H256" s="10">
        <v>3</v>
      </c>
      <c r="I256" s="10">
        <v>3</v>
      </c>
      <c r="J256" s="10">
        <f t="shared" si="12"/>
        <v>1.8</v>
      </c>
      <c r="K256" s="10">
        <f t="shared" si="13"/>
        <v>2</v>
      </c>
      <c r="L256" s="11" t="str">
        <f t="shared" si="14"/>
        <v>A</v>
      </c>
      <c r="M256" s="10" t="str">
        <f t="shared" si="15"/>
        <v>Aprobado</v>
      </c>
      <c r="N256" s="14">
        <v>0.65</v>
      </c>
    </row>
    <row r="257" spans="1:14" x14ac:dyDescent="0.25">
      <c r="A257" s="12" t="s">
        <v>67</v>
      </c>
      <c r="B257" s="12" t="s">
        <v>84</v>
      </c>
      <c r="C257" s="12" t="s">
        <v>68</v>
      </c>
      <c r="D257" s="12" t="s">
        <v>80</v>
      </c>
      <c r="E257" s="12">
        <v>1</v>
      </c>
      <c r="F257" s="12">
        <v>3</v>
      </c>
      <c r="G257" s="12">
        <v>1</v>
      </c>
      <c r="H257" s="12">
        <v>0</v>
      </c>
      <c r="I257" s="12">
        <v>0</v>
      </c>
      <c r="J257" s="12">
        <f t="shared" si="12"/>
        <v>1</v>
      </c>
      <c r="K257" s="12">
        <f t="shared" si="13"/>
        <v>1</v>
      </c>
      <c r="L257" s="13" t="str">
        <f t="shared" si="14"/>
        <v>B</v>
      </c>
      <c r="M257" s="12" t="str">
        <f t="shared" si="15"/>
        <v>Desaprobado</v>
      </c>
      <c r="N257" s="15">
        <v>0.7</v>
      </c>
    </row>
    <row r="258" spans="1:14" x14ac:dyDescent="0.25">
      <c r="A258" s="10" t="s">
        <v>69</v>
      </c>
      <c r="B258" s="10" t="s">
        <v>84</v>
      </c>
      <c r="C258" s="10" t="s">
        <v>70</v>
      </c>
      <c r="D258" s="10" t="s">
        <v>80</v>
      </c>
      <c r="E258" s="10">
        <v>1</v>
      </c>
      <c r="F258" s="10">
        <v>3</v>
      </c>
      <c r="G258" s="10">
        <v>1</v>
      </c>
      <c r="H258" s="10">
        <v>1</v>
      </c>
      <c r="I258" s="10">
        <v>3</v>
      </c>
      <c r="J258" s="10">
        <f t="shared" si="12"/>
        <v>1.8</v>
      </c>
      <c r="K258" s="10">
        <f t="shared" si="13"/>
        <v>2</v>
      </c>
      <c r="L258" s="11" t="str">
        <f t="shared" si="14"/>
        <v>A</v>
      </c>
      <c r="M258" s="10" t="str">
        <f t="shared" si="15"/>
        <v>Aprobado</v>
      </c>
      <c r="N258" s="14">
        <v>0.9</v>
      </c>
    </row>
    <row r="259" spans="1:14" x14ac:dyDescent="0.25">
      <c r="A259" s="12" t="s">
        <v>71</v>
      </c>
      <c r="B259" s="12" t="s">
        <v>84</v>
      </c>
      <c r="C259" s="12" t="s">
        <v>72</v>
      </c>
      <c r="D259" s="12" t="s">
        <v>80</v>
      </c>
      <c r="E259" s="12">
        <v>2</v>
      </c>
      <c r="F259" s="12">
        <v>2</v>
      </c>
      <c r="G259" s="12">
        <v>1</v>
      </c>
      <c r="H259" s="12">
        <v>0</v>
      </c>
      <c r="I259" s="12">
        <v>0</v>
      </c>
      <c r="J259" s="12">
        <f t="shared" ref="J259:J322" si="16">+AVERAGE(E259:I259)</f>
        <v>1</v>
      </c>
      <c r="K259" s="12">
        <f t="shared" ref="K259:K322" si="17">+ROUND(J259,0)</f>
        <v>1</v>
      </c>
      <c r="L259" s="13" t="str">
        <f t="shared" ref="L259:L322" si="18">+_xlfn.XLOOKUP(K259,$R$3:$R$6,$S$3:$S$6)</f>
        <v>B</v>
      </c>
      <c r="M259" s="12" t="str">
        <f t="shared" ref="M259:M322" si="19">+IF(OR(L259="AD",L259="A"),"Aprobado","Desaprobado")</f>
        <v>Desaprobado</v>
      </c>
      <c r="N259" s="15">
        <v>0.7</v>
      </c>
    </row>
    <row r="260" spans="1:14" x14ac:dyDescent="0.25">
      <c r="A260" s="10" t="s">
        <v>73</v>
      </c>
      <c r="B260" s="10" t="s">
        <v>84</v>
      </c>
      <c r="C260" s="10" t="s">
        <v>74</v>
      </c>
      <c r="D260" s="10" t="s">
        <v>80</v>
      </c>
      <c r="E260" s="10">
        <v>3</v>
      </c>
      <c r="F260" s="10">
        <v>1</v>
      </c>
      <c r="G260" s="10">
        <v>0</v>
      </c>
      <c r="H260" s="10">
        <v>1</v>
      </c>
      <c r="I260" s="10">
        <v>1</v>
      </c>
      <c r="J260" s="10">
        <f t="shared" si="16"/>
        <v>1.2</v>
      </c>
      <c r="K260" s="10">
        <f t="shared" si="17"/>
        <v>1</v>
      </c>
      <c r="L260" s="11" t="str">
        <f t="shared" si="18"/>
        <v>B</v>
      </c>
      <c r="M260" s="10" t="str">
        <f t="shared" si="19"/>
        <v>Desaprobado</v>
      </c>
      <c r="N260" s="14">
        <v>0.95</v>
      </c>
    </row>
    <row r="261" spans="1:14" x14ac:dyDescent="0.25">
      <c r="A261" s="12" t="s">
        <v>75</v>
      </c>
      <c r="B261" s="12" t="s">
        <v>84</v>
      </c>
      <c r="C261" s="12" t="s">
        <v>76</v>
      </c>
      <c r="D261" s="12" t="s">
        <v>80</v>
      </c>
      <c r="E261" s="12">
        <v>0</v>
      </c>
      <c r="F261" s="12">
        <v>3</v>
      </c>
      <c r="G261" s="12">
        <v>2</v>
      </c>
      <c r="H261" s="12">
        <v>0</v>
      </c>
      <c r="I261" s="12">
        <v>2</v>
      </c>
      <c r="J261" s="12">
        <f t="shared" si="16"/>
        <v>1.4</v>
      </c>
      <c r="K261" s="12">
        <f t="shared" si="17"/>
        <v>1</v>
      </c>
      <c r="L261" s="13" t="str">
        <f t="shared" si="18"/>
        <v>B</v>
      </c>
      <c r="M261" s="12" t="str">
        <f t="shared" si="19"/>
        <v>Desaprobado</v>
      </c>
      <c r="N261" s="15">
        <v>0.6</v>
      </c>
    </row>
    <row r="262" spans="1:14" x14ac:dyDescent="0.25">
      <c r="A262" s="10" t="s">
        <v>77</v>
      </c>
      <c r="B262" s="10" t="s">
        <v>84</v>
      </c>
      <c r="C262" s="10" t="s">
        <v>78</v>
      </c>
      <c r="D262" s="10" t="s">
        <v>80</v>
      </c>
      <c r="E262" s="10">
        <v>2</v>
      </c>
      <c r="F262" s="10">
        <v>3</v>
      </c>
      <c r="G262" s="10">
        <v>1</v>
      </c>
      <c r="H262" s="10">
        <v>2</v>
      </c>
      <c r="I262" s="10">
        <v>0</v>
      </c>
      <c r="J262" s="10">
        <f t="shared" si="16"/>
        <v>1.6</v>
      </c>
      <c r="K262" s="10">
        <f t="shared" si="17"/>
        <v>2</v>
      </c>
      <c r="L262" s="11" t="str">
        <f t="shared" si="18"/>
        <v>A</v>
      </c>
      <c r="M262" s="10" t="str">
        <f t="shared" si="19"/>
        <v>Aprobado</v>
      </c>
      <c r="N262" s="14">
        <v>0.1</v>
      </c>
    </row>
    <row r="263" spans="1:14" x14ac:dyDescent="0.25">
      <c r="A263" s="12" t="s">
        <v>14</v>
      </c>
      <c r="B263" s="12" t="s">
        <v>84</v>
      </c>
      <c r="C263" s="12" t="s">
        <v>16</v>
      </c>
      <c r="D263" s="12" t="s">
        <v>81</v>
      </c>
      <c r="E263" s="12">
        <v>1</v>
      </c>
      <c r="F263" s="12">
        <v>3</v>
      </c>
      <c r="G263" s="12">
        <v>2</v>
      </c>
      <c r="H263" s="12">
        <v>1</v>
      </c>
      <c r="I263" s="12">
        <v>3</v>
      </c>
      <c r="J263" s="12">
        <f t="shared" si="16"/>
        <v>2</v>
      </c>
      <c r="K263" s="12">
        <f t="shared" si="17"/>
        <v>2</v>
      </c>
      <c r="L263" s="13" t="str">
        <f t="shared" si="18"/>
        <v>A</v>
      </c>
      <c r="M263" s="12" t="str">
        <f t="shared" si="19"/>
        <v>Aprobado</v>
      </c>
      <c r="N263" s="15">
        <v>0.9</v>
      </c>
    </row>
    <row r="264" spans="1:14" x14ac:dyDescent="0.25">
      <c r="A264" s="10" t="s">
        <v>19</v>
      </c>
      <c r="B264" s="10" t="s">
        <v>84</v>
      </c>
      <c r="C264" s="10" t="s">
        <v>20</v>
      </c>
      <c r="D264" s="10" t="s">
        <v>81</v>
      </c>
      <c r="E264" s="10">
        <v>0</v>
      </c>
      <c r="F264" s="10">
        <v>3</v>
      </c>
      <c r="G264" s="10">
        <v>2</v>
      </c>
      <c r="H264" s="10">
        <v>0</v>
      </c>
      <c r="I264" s="10">
        <v>0</v>
      </c>
      <c r="J264" s="10">
        <f t="shared" si="16"/>
        <v>1</v>
      </c>
      <c r="K264" s="10">
        <f t="shared" si="17"/>
        <v>1</v>
      </c>
      <c r="L264" s="11" t="str">
        <f t="shared" si="18"/>
        <v>B</v>
      </c>
      <c r="M264" s="10" t="str">
        <f t="shared" si="19"/>
        <v>Desaprobado</v>
      </c>
      <c r="N264" s="14">
        <v>0.95</v>
      </c>
    </row>
    <row r="265" spans="1:14" x14ac:dyDescent="0.25">
      <c r="A265" s="12" t="s">
        <v>22</v>
      </c>
      <c r="B265" s="12" t="s">
        <v>84</v>
      </c>
      <c r="C265" s="12" t="s">
        <v>23</v>
      </c>
      <c r="D265" s="12" t="s">
        <v>81</v>
      </c>
      <c r="E265" s="12">
        <v>3</v>
      </c>
      <c r="F265" s="12">
        <v>0</v>
      </c>
      <c r="G265" s="12">
        <v>0</v>
      </c>
      <c r="H265" s="12">
        <v>3</v>
      </c>
      <c r="I265" s="12">
        <v>1</v>
      </c>
      <c r="J265" s="12">
        <f t="shared" si="16"/>
        <v>1.4</v>
      </c>
      <c r="K265" s="12">
        <f t="shared" si="17"/>
        <v>1</v>
      </c>
      <c r="L265" s="13" t="str">
        <f t="shared" si="18"/>
        <v>B</v>
      </c>
      <c r="M265" s="12" t="str">
        <f t="shared" si="19"/>
        <v>Desaprobado</v>
      </c>
      <c r="N265" s="15">
        <v>0.9</v>
      </c>
    </row>
    <row r="266" spans="1:14" x14ac:dyDescent="0.25">
      <c r="A266" s="10" t="s">
        <v>25</v>
      </c>
      <c r="B266" s="10" t="s">
        <v>84</v>
      </c>
      <c r="C266" s="10" t="s">
        <v>26</v>
      </c>
      <c r="D266" s="10" t="s">
        <v>81</v>
      </c>
      <c r="E266" s="10">
        <v>3</v>
      </c>
      <c r="F266" s="10">
        <v>2</v>
      </c>
      <c r="G266" s="10">
        <v>0</v>
      </c>
      <c r="H266" s="10">
        <v>2</v>
      </c>
      <c r="I266" s="10">
        <v>1</v>
      </c>
      <c r="J266" s="10">
        <f t="shared" si="16"/>
        <v>1.6</v>
      </c>
      <c r="K266" s="10">
        <f t="shared" si="17"/>
        <v>2</v>
      </c>
      <c r="L266" s="11" t="str">
        <f t="shared" si="18"/>
        <v>A</v>
      </c>
      <c r="M266" s="10" t="str">
        <f t="shared" si="19"/>
        <v>Aprobado</v>
      </c>
      <c r="N266" s="14">
        <v>0.2</v>
      </c>
    </row>
    <row r="267" spans="1:14" x14ac:dyDescent="0.25">
      <c r="A267" s="12" t="s">
        <v>28</v>
      </c>
      <c r="B267" s="12" t="s">
        <v>84</v>
      </c>
      <c r="C267" s="12" t="s">
        <v>29</v>
      </c>
      <c r="D267" s="12" t="s">
        <v>81</v>
      </c>
      <c r="E267" s="12">
        <v>1</v>
      </c>
      <c r="F267" s="12">
        <v>1</v>
      </c>
      <c r="G267" s="12">
        <v>1</v>
      </c>
      <c r="H267" s="12">
        <v>2</v>
      </c>
      <c r="I267" s="12">
        <v>3</v>
      </c>
      <c r="J267" s="12">
        <f t="shared" si="16"/>
        <v>1.6</v>
      </c>
      <c r="K267" s="12">
        <f t="shared" si="17"/>
        <v>2</v>
      </c>
      <c r="L267" s="13" t="str">
        <f t="shared" si="18"/>
        <v>A</v>
      </c>
      <c r="M267" s="12" t="str">
        <f t="shared" si="19"/>
        <v>Aprobado</v>
      </c>
      <c r="N267" s="15">
        <v>0.95</v>
      </c>
    </row>
    <row r="268" spans="1:14" x14ac:dyDescent="0.25">
      <c r="A268" s="10" t="s">
        <v>31</v>
      </c>
      <c r="B268" s="10" t="s">
        <v>84</v>
      </c>
      <c r="C268" s="10" t="s">
        <v>32</v>
      </c>
      <c r="D268" s="10" t="s">
        <v>81</v>
      </c>
      <c r="E268" s="10">
        <v>3</v>
      </c>
      <c r="F268" s="10">
        <v>0</v>
      </c>
      <c r="G268" s="10">
        <v>2</v>
      </c>
      <c r="H268" s="10">
        <v>1</v>
      </c>
      <c r="I268" s="10">
        <v>1</v>
      </c>
      <c r="J268" s="10">
        <f t="shared" si="16"/>
        <v>1.4</v>
      </c>
      <c r="K268" s="10">
        <f t="shared" si="17"/>
        <v>1</v>
      </c>
      <c r="L268" s="11" t="str">
        <f t="shared" si="18"/>
        <v>B</v>
      </c>
      <c r="M268" s="10" t="str">
        <f t="shared" si="19"/>
        <v>Desaprobado</v>
      </c>
      <c r="N268" s="14">
        <v>0.8</v>
      </c>
    </row>
    <row r="269" spans="1:14" x14ac:dyDescent="0.25">
      <c r="A269" s="12" t="s">
        <v>33</v>
      </c>
      <c r="B269" s="12" t="s">
        <v>84</v>
      </c>
      <c r="C269" s="12" t="s">
        <v>34</v>
      </c>
      <c r="D269" s="12" t="s">
        <v>81</v>
      </c>
      <c r="E269" s="12">
        <v>0</v>
      </c>
      <c r="F269" s="12">
        <v>2</v>
      </c>
      <c r="G269" s="12">
        <v>0</v>
      </c>
      <c r="H269" s="12">
        <v>2</v>
      </c>
      <c r="I269" s="12">
        <v>2</v>
      </c>
      <c r="J269" s="12">
        <f t="shared" si="16"/>
        <v>1.2</v>
      </c>
      <c r="K269" s="12">
        <f t="shared" si="17"/>
        <v>1</v>
      </c>
      <c r="L269" s="13" t="str">
        <f t="shared" si="18"/>
        <v>B</v>
      </c>
      <c r="M269" s="12" t="str">
        <f t="shared" si="19"/>
        <v>Desaprobado</v>
      </c>
      <c r="N269" s="15">
        <v>0.25</v>
      </c>
    </row>
    <row r="270" spans="1:14" x14ac:dyDescent="0.25">
      <c r="A270" s="10" t="s">
        <v>35</v>
      </c>
      <c r="B270" s="10" t="s">
        <v>84</v>
      </c>
      <c r="C270" s="10" t="s">
        <v>36</v>
      </c>
      <c r="D270" s="10" t="s">
        <v>81</v>
      </c>
      <c r="E270" s="10">
        <v>0</v>
      </c>
      <c r="F270" s="10">
        <v>3</v>
      </c>
      <c r="G270" s="10">
        <v>0</v>
      </c>
      <c r="H270" s="10">
        <v>0</v>
      </c>
      <c r="I270" s="10">
        <v>3</v>
      </c>
      <c r="J270" s="10">
        <f t="shared" si="16"/>
        <v>1.2</v>
      </c>
      <c r="K270" s="10">
        <f t="shared" si="17"/>
        <v>1</v>
      </c>
      <c r="L270" s="11" t="str">
        <f t="shared" si="18"/>
        <v>B</v>
      </c>
      <c r="M270" s="10" t="str">
        <f t="shared" si="19"/>
        <v>Desaprobado</v>
      </c>
      <c r="N270" s="14">
        <v>0.4</v>
      </c>
    </row>
    <row r="271" spans="1:14" x14ac:dyDescent="0.25">
      <c r="A271" s="12" t="s">
        <v>37</v>
      </c>
      <c r="B271" s="12" t="s">
        <v>84</v>
      </c>
      <c r="C271" s="12" t="s">
        <v>38</v>
      </c>
      <c r="D271" s="12" t="s">
        <v>81</v>
      </c>
      <c r="E271" s="12">
        <v>2</v>
      </c>
      <c r="F271" s="12">
        <v>1</v>
      </c>
      <c r="G271" s="12">
        <v>3</v>
      </c>
      <c r="H271" s="12">
        <v>0</v>
      </c>
      <c r="I271" s="12">
        <v>2</v>
      </c>
      <c r="J271" s="12">
        <f t="shared" si="16"/>
        <v>1.6</v>
      </c>
      <c r="K271" s="12">
        <f t="shared" si="17"/>
        <v>2</v>
      </c>
      <c r="L271" s="13" t="str">
        <f t="shared" si="18"/>
        <v>A</v>
      </c>
      <c r="M271" s="12" t="str">
        <f t="shared" si="19"/>
        <v>Aprobado</v>
      </c>
      <c r="N271" s="15">
        <v>0.4</v>
      </c>
    </row>
    <row r="272" spans="1:14" x14ac:dyDescent="0.25">
      <c r="A272" s="10" t="s">
        <v>39</v>
      </c>
      <c r="B272" s="10" t="s">
        <v>84</v>
      </c>
      <c r="C272" s="10" t="s">
        <v>40</v>
      </c>
      <c r="D272" s="10" t="s">
        <v>81</v>
      </c>
      <c r="E272" s="10">
        <v>3</v>
      </c>
      <c r="F272" s="10">
        <v>2</v>
      </c>
      <c r="G272" s="10">
        <v>0</v>
      </c>
      <c r="H272" s="10">
        <v>2</v>
      </c>
      <c r="I272" s="10">
        <v>2</v>
      </c>
      <c r="J272" s="10">
        <f t="shared" si="16"/>
        <v>1.8</v>
      </c>
      <c r="K272" s="10">
        <f t="shared" si="17"/>
        <v>2</v>
      </c>
      <c r="L272" s="11" t="str">
        <f t="shared" si="18"/>
        <v>A</v>
      </c>
      <c r="M272" s="10" t="str">
        <f t="shared" si="19"/>
        <v>Aprobado</v>
      </c>
      <c r="N272" s="14">
        <v>0.5</v>
      </c>
    </row>
    <row r="273" spans="1:14" x14ac:dyDescent="0.25">
      <c r="A273" s="12" t="s">
        <v>41</v>
      </c>
      <c r="B273" s="12" t="s">
        <v>84</v>
      </c>
      <c r="C273" s="12" t="s">
        <v>42</v>
      </c>
      <c r="D273" s="12" t="s">
        <v>81</v>
      </c>
      <c r="E273" s="12">
        <v>1</v>
      </c>
      <c r="F273" s="12">
        <v>1</v>
      </c>
      <c r="G273" s="12">
        <v>1</v>
      </c>
      <c r="H273" s="12">
        <v>1</v>
      </c>
      <c r="I273" s="12">
        <v>0</v>
      </c>
      <c r="J273" s="12">
        <f t="shared" si="16"/>
        <v>0.8</v>
      </c>
      <c r="K273" s="12">
        <f t="shared" si="17"/>
        <v>1</v>
      </c>
      <c r="L273" s="13" t="str">
        <f t="shared" si="18"/>
        <v>B</v>
      </c>
      <c r="M273" s="12" t="str">
        <f t="shared" si="19"/>
        <v>Desaprobado</v>
      </c>
      <c r="N273" s="15">
        <v>0.7</v>
      </c>
    </row>
    <row r="274" spans="1:14" x14ac:dyDescent="0.25">
      <c r="A274" s="10" t="s">
        <v>43</v>
      </c>
      <c r="B274" s="10" t="s">
        <v>84</v>
      </c>
      <c r="C274" s="10" t="s">
        <v>44</v>
      </c>
      <c r="D274" s="10" t="s">
        <v>81</v>
      </c>
      <c r="E274" s="10">
        <v>2</v>
      </c>
      <c r="F274" s="10">
        <v>0</v>
      </c>
      <c r="G274" s="10">
        <v>3</v>
      </c>
      <c r="H274" s="10">
        <v>3</v>
      </c>
      <c r="I274" s="10">
        <v>2</v>
      </c>
      <c r="J274" s="10">
        <f t="shared" si="16"/>
        <v>2</v>
      </c>
      <c r="K274" s="10">
        <f t="shared" si="17"/>
        <v>2</v>
      </c>
      <c r="L274" s="11" t="str">
        <f t="shared" si="18"/>
        <v>A</v>
      </c>
      <c r="M274" s="10" t="str">
        <f t="shared" si="19"/>
        <v>Aprobado</v>
      </c>
      <c r="N274" s="14">
        <v>0.7</v>
      </c>
    </row>
    <row r="275" spans="1:14" x14ac:dyDescent="0.25">
      <c r="A275" s="12" t="s">
        <v>45</v>
      </c>
      <c r="B275" s="12" t="s">
        <v>84</v>
      </c>
      <c r="C275" s="12" t="s">
        <v>46</v>
      </c>
      <c r="D275" s="12" t="s">
        <v>81</v>
      </c>
      <c r="E275" s="12">
        <v>2</v>
      </c>
      <c r="F275" s="12">
        <v>0</v>
      </c>
      <c r="G275" s="12">
        <v>2</v>
      </c>
      <c r="H275" s="12">
        <v>0</v>
      </c>
      <c r="I275" s="12">
        <v>3</v>
      </c>
      <c r="J275" s="12">
        <f t="shared" si="16"/>
        <v>1.4</v>
      </c>
      <c r="K275" s="12">
        <f t="shared" si="17"/>
        <v>1</v>
      </c>
      <c r="L275" s="13" t="str">
        <f t="shared" si="18"/>
        <v>B</v>
      </c>
      <c r="M275" s="12" t="str">
        <f t="shared" si="19"/>
        <v>Desaprobado</v>
      </c>
      <c r="N275" s="15">
        <v>0.25</v>
      </c>
    </row>
    <row r="276" spans="1:14" x14ac:dyDescent="0.25">
      <c r="A276" s="10" t="s">
        <v>47</v>
      </c>
      <c r="B276" s="10" t="s">
        <v>84</v>
      </c>
      <c r="C276" s="10" t="s">
        <v>48</v>
      </c>
      <c r="D276" s="10" t="s">
        <v>81</v>
      </c>
      <c r="E276" s="10">
        <v>0</v>
      </c>
      <c r="F276" s="10">
        <v>1</v>
      </c>
      <c r="G276" s="10">
        <v>0</v>
      </c>
      <c r="H276" s="10">
        <v>0</v>
      </c>
      <c r="I276" s="10">
        <v>1</v>
      </c>
      <c r="J276" s="10">
        <f t="shared" si="16"/>
        <v>0.4</v>
      </c>
      <c r="K276" s="10">
        <f t="shared" si="17"/>
        <v>0</v>
      </c>
      <c r="L276" s="11" t="str">
        <f t="shared" si="18"/>
        <v>C</v>
      </c>
      <c r="M276" s="10" t="str">
        <f t="shared" si="19"/>
        <v>Desaprobado</v>
      </c>
      <c r="N276" s="14">
        <v>0.2</v>
      </c>
    </row>
    <row r="277" spans="1:14" x14ac:dyDescent="0.25">
      <c r="A277" s="12" t="s">
        <v>49</v>
      </c>
      <c r="B277" s="12" t="s">
        <v>84</v>
      </c>
      <c r="C277" s="12" t="s">
        <v>50</v>
      </c>
      <c r="D277" s="12" t="s">
        <v>81</v>
      </c>
      <c r="E277" s="12">
        <v>2</v>
      </c>
      <c r="F277" s="12">
        <v>1</v>
      </c>
      <c r="G277" s="12">
        <v>0</v>
      </c>
      <c r="H277" s="12">
        <v>1</v>
      </c>
      <c r="I277" s="12">
        <v>1</v>
      </c>
      <c r="J277" s="12">
        <f t="shared" si="16"/>
        <v>1</v>
      </c>
      <c r="K277" s="12">
        <f t="shared" si="17"/>
        <v>1</v>
      </c>
      <c r="L277" s="13" t="str">
        <f t="shared" si="18"/>
        <v>B</v>
      </c>
      <c r="M277" s="12" t="str">
        <f t="shared" si="19"/>
        <v>Desaprobado</v>
      </c>
      <c r="N277" s="15">
        <v>0.65</v>
      </c>
    </row>
    <row r="278" spans="1:14" x14ac:dyDescent="0.25">
      <c r="A278" s="10" t="s">
        <v>51</v>
      </c>
      <c r="B278" s="10" t="s">
        <v>84</v>
      </c>
      <c r="C278" s="10" t="s">
        <v>52</v>
      </c>
      <c r="D278" s="10" t="s">
        <v>81</v>
      </c>
      <c r="E278" s="10">
        <v>0</v>
      </c>
      <c r="F278" s="10">
        <v>3</v>
      </c>
      <c r="G278" s="10">
        <v>2</v>
      </c>
      <c r="H278" s="10">
        <v>2</v>
      </c>
      <c r="I278" s="10">
        <v>1</v>
      </c>
      <c r="J278" s="10">
        <f t="shared" si="16"/>
        <v>1.6</v>
      </c>
      <c r="K278" s="10">
        <f t="shared" si="17"/>
        <v>2</v>
      </c>
      <c r="L278" s="11" t="str">
        <f t="shared" si="18"/>
        <v>A</v>
      </c>
      <c r="M278" s="10" t="str">
        <f t="shared" si="19"/>
        <v>Aprobado</v>
      </c>
      <c r="N278" s="14">
        <v>0.7</v>
      </c>
    </row>
    <row r="279" spans="1:14" x14ac:dyDescent="0.25">
      <c r="A279" s="12" t="s">
        <v>53</v>
      </c>
      <c r="B279" s="12" t="s">
        <v>84</v>
      </c>
      <c r="C279" s="12" t="s">
        <v>54</v>
      </c>
      <c r="D279" s="12" t="s">
        <v>81</v>
      </c>
      <c r="E279" s="12">
        <v>0</v>
      </c>
      <c r="F279" s="12">
        <v>3</v>
      </c>
      <c r="G279" s="12">
        <v>1</v>
      </c>
      <c r="H279" s="12">
        <v>0</v>
      </c>
      <c r="I279" s="12">
        <v>0</v>
      </c>
      <c r="J279" s="12">
        <f t="shared" si="16"/>
        <v>0.8</v>
      </c>
      <c r="K279" s="12">
        <f t="shared" si="17"/>
        <v>1</v>
      </c>
      <c r="L279" s="13" t="str">
        <f t="shared" si="18"/>
        <v>B</v>
      </c>
      <c r="M279" s="12" t="str">
        <f t="shared" si="19"/>
        <v>Desaprobado</v>
      </c>
      <c r="N279" s="15">
        <v>0.9</v>
      </c>
    </row>
    <row r="280" spans="1:14" x14ac:dyDescent="0.25">
      <c r="A280" s="10" t="s">
        <v>55</v>
      </c>
      <c r="B280" s="10" t="s">
        <v>84</v>
      </c>
      <c r="C280" s="10" t="s">
        <v>56</v>
      </c>
      <c r="D280" s="10" t="s">
        <v>81</v>
      </c>
      <c r="E280" s="10">
        <v>2</v>
      </c>
      <c r="F280" s="10">
        <v>2</v>
      </c>
      <c r="G280" s="10">
        <v>2</v>
      </c>
      <c r="H280" s="10">
        <v>1</v>
      </c>
      <c r="I280" s="10">
        <v>0</v>
      </c>
      <c r="J280" s="10">
        <f t="shared" si="16"/>
        <v>1.4</v>
      </c>
      <c r="K280" s="10">
        <f t="shared" si="17"/>
        <v>1</v>
      </c>
      <c r="L280" s="11" t="str">
        <f t="shared" si="18"/>
        <v>B</v>
      </c>
      <c r="M280" s="10" t="str">
        <f t="shared" si="19"/>
        <v>Desaprobado</v>
      </c>
      <c r="N280" s="14">
        <v>0.7</v>
      </c>
    </row>
    <row r="281" spans="1:14" x14ac:dyDescent="0.25">
      <c r="A281" s="12" t="s">
        <v>57</v>
      </c>
      <c r="B281" s="12" t="s">
        <v>84</v>
      </c>
      <c r="C281" s="12" t="s">
        <v>58</v>
      </c>
      <c r="D281" s="12" t="s">
        <v>81</v>
      </c>
      <c r="E281" s="12">
        <v>1</v>
      </c>
      <c r="F281" s="12">
        <v>0</v>
      </c>
      <c r="G281" s="12">
        <v>3</v>
      </c>
      <c r="H281" s="12">
        <v>2</v>
      </c>
      <c r="I281" s="12">
        <v>3</v>
      </c>
      <c r="J281" s="12">
        <f t="shared" si="16"/>
        <v>1.8</v>
      </c>
      <c r="K281" s="12">
        <f t="shared" si="17"/>
        <v>2</v>
      </c>
      <c r="L281" s="13" t="str">
        <f t="shared" si="18"/>
        <v>A</v>
      </c>
      <c r="M281" s="12" t="str">
        <f t="shared" si="19"/>
        <v>Aprobado</v>
      </c>
      <c r="N281" s="15">
        <v>0.95</v>
      </c>
    </row>
    <row r="282" spans="1:14" x14ac:dyDescent="0.25">
      <c r="A282" s="10" t="s">
        <v>59</v>
      </c>
      <c r="B282" s="10" t="s">
        <v>84</v>
      </c>
      <c r="C282" s="10" t="s">
        <v>60</v>
      </c>
      <c r="D282" s="10" t="s">
        <v>81</v>
      </c>
      <c r="E282" s="10">
        <v>0</v>
      </c>
      <c r="F282" s="10">
        <v>3</v>
      </c>
      <c r="G282" s="10">
        <v>1</v>
      </c>
      <c r="H282" s="10">
        <v>2</v>
      </c>
      <c r="I282" s="10">
        <v>0</v>
      </c>
      <c r="J282" s="10">
        <f t="shared" si="16"/>
        <v>1.2</v>
      </c>
      <c r="K282" s="10">
        <f t="shared" si="17"/>
        <v>1</v>
      </c>
      <c r="L282" s="11" t="str">
        <f t="shared" si="18"/>
        <v>B</v>
      </c>
      <c r="M282" s="10" t="str">
        <f t="shared" si="19"/>
        <v>Desaprobado</v>
      </c>
      <c r="N282" s="14">
        <v>0.6</v>
      </c>
    </row>
    <row r="283" spans="1:14" x14ac:dyDescent="0.25">
      <c r="A283" s="12" t="s">
        <v>61</v>
      </c>
      <c r="B283" s="12" t="s">
        <v>84</v>
      </c>
      <c r="C283" s="12" t="s">
        <v>62</v>
      </c>
      <c r="D283" s="12" t="s">
        <v>81</v>
      </c>
      <c r="E283" s="12">
        <v>0</v>
      </c>
      <c r="F283" s="12">
        <v>3</v>
      </c>
      <c r="G283" s="12">
        <v>2</v>
      </c>
      <c r="H283" s="12">
        <v>2</v>
      </c>
      <c r="I283" s="12">
        <v>1</v>
      </c>
      <c r="J283" s="12">
        <f t="shared" si="16"/>
        <v>1.6</v>
      </c>
      <c r="K283" s="12">
        <f t="shared" si="17"/>
        <v>2</v>
      </c>
      <c r="L283" s="13" t="str">
        <f t="shared" si="18"/>
        <v>A</v>
      </c>
      <c r="M283" s="12" t="str">
        <f t="shared" si="19"/>
        <v>Aprobado</v>
      </c>
      <c r="N283" s="15">
        <v>0.1</v>
      </c>
    </row>
    <row r="284" spans="1:14" x14ac:dyDescent="0.25">
      <c r="A284" s="10" t="s">
        <v>63</v>
      </c>
      <c r="B284" s="10" t="s">
        <v>84</v>
      </c>
      <c r="C284" s="10" t="s">
        <v>64</v>
      </c>
      <c r="D284" s="10" t="s">
        <v>81</v>
      </c>
      <c r="E284" s="10">
        <v>0</v>
      </c>
      <c r="F284" s="10">
        <v>2</v>
      </c>
      <c r="G284" s="10">
        <v>0</v>
      </c>
      <c r="H284" s="10">
        <v>2</v>
      </c>
      <c r="I284" s="10">
        <v>3</v>
      </c>
      <c r="J284" s="10">
        <f t="shared" si="16"/>
        <v>1.4</v>
      </c>
      <c r="K284" s="10">
        <f t="shared" si="17"/>
        <v>1</v>
      </c>
      <c r="L284" s="11" t="str">
        <f t="shared" si="18"/>
        <v>B</v>
      </c>
      <c r="M284" s="10" t="str">
        <f t="shared" si="19"/>
        <v>Desaprobado</v>
      </c>
      <c r="N284" s="14">
        <v>0.9</v>
      </c>
    </row>
    <row r="285" spans="1:14" x14ac:dyDescent="0.25">
      <c r="A285" s="12" t="s">
        <v>65</v>
      </c>
      <c r="B285" s="12" t="s">
        <v>84</v>
      </c>
      <c r="C285" s="12" t="s">
        <v>66</v>
      </c>
      <c r="D285" s="12" t="s">
        <v>81</v>
      </c>
      <c r="E285" s="12">
        <v>2</v>
      </c>
      <c r="F285" s="12">
        <v>3</v>
      </c>
      <c r="G285" s="12">
        <v>1</v>
      </c>
      <c r="H285" s="12">
        <v>3</v>
      </c>
      <c r="I285" s="12">
        <v>2</v>
      </c>
      <c r="J285" s="12">
        <f t="shared" si="16"/>
        <v>2.2000000000000002</v>
      </c>
      <c r="K285" s="12">
        <f t="shared" si="17"/>
        <v>2</v>
      </c>
      <c r="L285" s="13" t="str">
        <f t="shared" si="18"/>
        <v>A</v>
      </c>
      <c r="M285" s="12" t="str">
        <f t="shared" si="19"/>
        <v>Aprobado</v>
      </c>
      <c r="N285" s="15">
        <v>0.95</v>
      </c>
    </row>
    <row r="286" spans="1:14" x14ac:dyDescent="0.25">
      <c r="A286" s="10" t="s">
        <v>67</v>
      </c>
      <c r="B286" s="10" t="s">
        <v>84</v>
      </c>
      <c r="C286" s="10" t="s">
        <v>68</v>
      </c>
      <c r="D286" s="10" t="s">
        <v>81</v>
      </c>
      <c r="E286" s="10">
        <v>0</v>
      </c>
      <c r="F286" s="10">
        <v>3</v>
      </c>
      <c r="G286" s="10">
        <v>0</v>
      </c>
      <c r="H286" s="10">
        <v>3</v>
      </c>
      <c r="I286" s="10">
        <v>1</v>
      </c>
      <c r="J286" s="10">
        <f t="shared" si="16"/>
        <v>1.4</v>
      </c>
      <c r="K286" s="10">
        <f t="shared" si="17"/>
        <v>1</v>
      </c>
      <c r="L286" s="11" t="str">
        <f t="shared" si="18"/>
        <v>B</v>
      </c>
      <c r="M286" s="10" t="str">
        <f t="shared" si="19"/>
        <v>Desaprobado</v>
      </c>
      <c r="N286" s="14">
        <v>0.45</v>
      </c>
    </row>
    <row r="287" spans="1:14" x14ac:dyDescent="0.25">
      <c r="A287" s="12" t="s">
        <v>69</v>
      </c>
      <c r="B287" s="12" t="s">
        <v>84</v>
      </c>
      <c r="C287" s="12" t="s">
        <v>70</v>
      </c>
      <c r="D287" s="12" t="s">
        <v>81</v>
      </c>
      <c r="E287" s="12">
        <v>0</v>
      </c>
      <c r="F287" s="12">
        <v>0</v>
      </c>
      <c r="G287" s="12">
        <v>2</v>
      </c>
      <c r="H287" s="12">
        <v>3</v>
      </c>
      <c r="I287" s="12">
        <v>1</v>
      </c>
      <c r="J287" s="12">
        <f t="shared" si="16"/>
        <v>1.2</v>
      </c>
      <c r="K287" s="12">
        <f t="shared" si="17"/>
        <v>1</v>
      </c>
      <c r="L287" s="13" t="str">
        <f t="shared" si="18"/>
        <v>B</v>
      </c>
      <c r="M287" s="12" t="str">
        <f t="shared" si="19"/>
        <v>Desaprobado</v>
      </c>
      <c r="N287" s="15">
        <v>0.2</v>
      </c>
    </row>
    <row r="288" spans="1:14" x14ac:dyDescent="0.25">
      <c r="A288" s="10" t="s">
        <v>71</v>
      </c>
      <c r="B288" s="10" t="s">
        <v>84</v>
      </c>
      <c r="C288" s="10" t="s">
        <v>72</v>
      </c>
      <c r="D288" s="10" t="s">
        <v>81</v>
      </c>
      <c r="E288" s="10">
        <v>1</v>
      </c>
      <c r="F288" s="10">
        <v>3</v>
      </c>
      <c r="G288" s="10">
        <v>3</v>
      </c>
      <c r="H288" s="10">
        <v>1</v>
      </c>
      <c r="I288" s="10">
        <v>1</v>
      </c>
      <c r="J288" s="10">
        <f t="shared" si="16"/>
        <v>1.8</v>
      </c>
      <c r="K288" s="10">
        <f t="shared" si="17"/>
        <v>2</v>
      </c>
      <c r="L288" s="11" t="str">
        <f t="shared" si="18"/>
        <v>A</v>
      </c>
      <c r="M288" s="10" t="str">
        <f t="shared" si="19"/>
        <v>Aprobado</v>
      </c>
      <c r="N288" s="14">
        <v>0.95</v>
      </c>
    </row>
    <row r="289" spans="1:14" x14ac:dyDescent="0.25">
      <c r="A289" s="12" t="s">
        <v>73</v>
      </c>
      <c r="B289" s="12" t="s">
        <v>84</v>
      </c>
      <c r="C289" s="12" t="s">
        <v>74</v>
      </c>
      <c r="D289" s="12" t="s">
        <v>81</v>
      </c>
      <c r="E289" s="12">
        <v>1</v>
      </c>
      <c r="F289" s="12">
        <v>1</v>
      </c>
      <c r="G289" s="12">
        <v>1</v>
      </c>
      <c r="H289" s="12">
        <v>2</v>
      </c>
      <c r="I289" s="12">
        <v>1</v>
      </c>
      <c r="J289" s="12">
        <f t="shared" si="16"/>
        <v>1.2</v>
      </c>
      <c r="K289" s="12">
        <f t="shared" si="17"/>
        <v>1</v>
      </c>
      <c r="L289" s="13" t="str">
        <f t="shared" si="18"/>
        <v>B</v>
      </c>
      <c r="M289" s="12" t="str">
        <f t="shared" si="19"/>
        <v>Desaprobado</v>
      </c>
      <c r="N289" s="15">
        <v>0.8</v>
      </c>
    </row>
    <row r="290" spans="1:14" x14ac:dyDescent="0.25">
      <c r="A290" s="10" t="s">
        <v>75</v>
      </c>
      <c r="B290" s="10" t="s">
        <v>84</v>
      </c>
      <c r="C290" s="10" t="s">
        <v>76</v>
      </c>
      <c r="D290" s="10" t="s">
        <v>81</v>
      </c>
      <c r="E290" s="10">
        <v>0</v>
      </c>
      <c r="F290" s="10">
        <v>3</v>
      </c>
      <c r="G290" s="10">
        <v>0</v>
      </c>
      <c r="H290" s="10">
        <v>3</v>
      </c>
      <c r="I290" s="10">
        <v>2</v>
      </c>
      <c r="J290" s="10">
        <f t="shared" si="16"/>
        <v>1.6</v>
      </c>
      <c r="K290" s="10">
        <f t="shared" si="17"/>
        <v>2</v>
      </c>
      <c r="L290" s="11" t="str">
        <f t="shared" si="18"/>
        <v>A</v>
      </c>
      <c r="M290" s="10" t="str">
        <f t="shared" si="19"/>
        <v>Aprobado</v>
      </c>
      <c r="N290" s="14">
        <v>0.25</v>
      </c>
    </row>
    <row r="291" spans="1:14" x14ac:dyDescent="0.25">
      <c r="A291" s="12" t="s">
        <v>77</v>
      </c>
      <c r="B291" s="12" t="s">
        <v>84</v>
      </c>
      <c r="C291" s="12" t="s">
        <v>78</v>
      </c>
      <c r="D291" s="12" t="s">
        <v>81</v>
      </c>
      <c r="E291" s="12">
        <v>1</v>
      </c>
      <c r="F291" s="12">
        <v>2</v>
      </c>
      <c r="G291" s="12">
        <v>1</v>
      </c>
      <c r="H291" s="12">
        <v>3</v>
      </c>
      <c r="I291" s="12">
        <v>3</v>
      </c>
      <c r="J291" s="12">
        <f t="shared" si="16"/>
        <v>2</v>
      </c>
      <c r="K291" s="12">
        <f t="shared" si="17"/>
        <v>2</v>
      </c>
      <c r="L291" s="13" t="str">
        <f t="shared" si="18"/>
        <v>A</v>
      </c>
      <c r="M291" s="12" t="str">
        <f t="shared" si="19"/>
        <v>Aprobado</v>
      </c>
      <c r="N291" s="15">
        <v>0.4</v>
      </c>
    </row>
    <row r="292" spans="1:14" x14ac:dyDescent="0.25">
      <c r="A292" s="10" t="s">
        <v>14</v>
      </c>
      <c r="B292" s="10" t="s">
        <v>84</v>
      </c>
      <c r="C292" s="10" t="s">
        <v>16</v>
      </c>
      <c r="D292" s="10" t="s">
        <v>82</v>
      </c>
      <c r="E292" s="10">
        <v>0</v>
      </c>
      <c r="F292" s="10">
        <v>0</v>
      </c>
      <c r="G292" s="10">
        <v>3</v>
      </c>
      <c r="H292" s="10">
        <v>2</v>
      </c>
      <c r="I292" s="10">
        <v>0</v>
      </c>
      <c r="J292" s="10">
        <f t="shared" si="16"/>
        <v>1</v>
      </c>
      <c r="K292" s="10">
        <f t="shared" si="17"/>
        <v>1</v>
      </c>
      <c r="L292" s="11" t="str">
        <f t="shared" si="18"/>
        <v>B</v>
      </c>
      <c r="M292" s="10" t="str">
        <f t="shared" si="19"/>
        <v>Desaprobado</v>
      </c>
      <c r="N292" s="14">
        <v>0.4</v>
      </c>
    </row>
    <row r="293" spans="1:14" x14ac:dyDescent="0.25">
      <c r="A293" s="12" t="s">
        <v>19</v>
      </c>
      <c r="B293" s="12" t="s">
        <v>84</v>
      </c>
      <c r="C293" s="12" t="s">
        <v>20</v>
      </c>
      <c r="D293" s="12" t="s">
        <v>82</v>
      </c>
      <c r="E293" s="12">
        <v>1</v>
      </c>
      <c r="F293" s="12">
        <v>0</v>
      </c>
      <c r="G293" s="12">
        <v>0</v>
      </c>
      <c r="H293" s="12">
        <v>2</v>
      </c>
      <c r="I293" s="12">
        <v>3</v>
      </c>
      <c r="J293" s="12">
        <f t="shared" si="16"/>
        <v>1.2</v>
      </c>
      <c r="K293" s="12">
        <f t="shared" si="17"/>
        <v>1</v>
      </c>
      <c r="L293" s="13" t="str">
        <f t="shared" si="18"/>
        <v>B</v>
      </c>
      <c r="M293" s="12" t="str">
        <f t="shared" si="19"/>
        <v>Desaprobado</v>
      </c>
      <c r="N293" s="15">
        <v>0.5</v>
      </c>
    </row>
    <row r="294" spans="1:14" x14ac:dyDescent="0.25">
      <c r="A294" s="10" t="s">
        <v>22</v>
      </c>
      <c r="B294" s="10" t="s">
        <v>84</v>
      </c>
      <c r="C294" s="10" t="s">
        <v>23</v>
      </c>
      <c r="D294" s="10" t="s">
        <v>82</v>
      </c>
      <c r="E294" s="10">
        <v>3</v>
      </c>
      <c r="F294" s="10">
        <v>1</v>
      </c>
      <c r="G294" s="10">
        <v>2</v>
      </c>
      <c r="H294" s="10">
        <v>2</v>
      </c>
      <c r="I294" s="10">
        <v>2</v>
      </c>
      <c r="J294" s="10">
        <f t="shared" si="16"/>
        <v>2</v>
      </c>
      <c r="K294" s="10">
        <f t="shared" si="17"/>
        <v>2</v>
      </c>
      <c r="L294" s="11" t="str">
        <f t="shared" si="18"/>
        <v>A</v>
      </c>
      <c r="M294" s="10" t="str">
        <f t="shared" si="19"/>
        <v>Aprobado</v>
      </c>
      <c r="N294" s="14">
        <v>0.7</v>
      </c>
    </row>
    <row r="295" spans="1:14" x14ac:dyDescent="0.25">
      <c r="A295" s="12" t="s">
        <v>25</v>
      </c>
      <c r="B295" s="12" t="s">
        <v>84</v>
      </c>
      <c r="C295" s="12" t="s">
        <v>26</v>
      </c>
      <c r="D295" s="12" t="s">
        <v>82</v>
      </c>
      <c r="E295" s="12">
        <v>3</v>
      </c>
      <c r="F295" s="12">
        <v>0</v>
      </c>
      <c r="G295" s="12">
        <v>1</v>
      </c>
      <c r="H295" s="12">
        <v>0</v>
      </c>
      <c r="I295" s="12">
        <v>3</v>
      </c>
      <c r="J295" s="12">
        <f t="shared" si="16"/>
        <v>1.4</v>
      </c>
      <c r="K295" s="12">
        <f t="shared" si="17"/>
        <v>1</v>
      </c>
      <c r="L295" s="13" t="str">
        <f t="shared" si="18"/>
        <v>B</v>
      </c>
      <c r="M295" s="12" t="str">
        <f t="shared" si="19"/>
        <v>Desaprobado</v>
      </c>
      <c r="N295" s="15">
        <v>0.7</v>
      </c>
    </row>
    <row r="296" spans="1:14" x14ac:dyDescent="0.25">
      <c r="A296" s="10" t="s">
        <v>28</v>
      </c>
      <c r="B296" s="10" t="s">
        <v>84</v>
      </c>
      <c r="C296" s="10" t="s">
        <v>29</v>
      </c>
      <c r="D296" s="10" t="s">
        <v>82</v>
      </c>
      <c r="E296" s="10">
        <v>3</v>
      </c>
      <c r="F296" s="10">
        <v>1</v>
      </c>
      <c r="G296" s="10">
        <v>3</v>
      </c>
      <c r="H296" s="10">
        <v>2</v>
      </c>
      <c r="I296" s="10">
        <v>2</v>
      </c>
      <c r="J296" s="10">
        <f t="shared" si="16"/>
        <v>2.2000000000000002</v>
      </c>
      <c r="K296" s="10">
        <f t="shared" si="17"/>
        <v>2</v>
      </c>
      <c r="L296" s="11" t="str">
        <f t="shared" si="18"/>
        <v>A</v>
      </c>
      <c r="M296" s="10" t="str">
        <f t="shared" si="19"/>
        <v>Aprobado</v>
      </c>
      <c r="N296" s="14">
        <v>0.25</v>
      </c>
    </row>
    <row r="297" spans="1:14" x14ac:dyDescent="0.25">
      <c r="A297" s="12" t="s">
        <v>31</v>
      </c>
      <c r="B297" s="12" t="s">
        <v>84</v>
      </c>
      <c r="C297" s="12" t="s">
        <v>32</v>
      </c>
      <c r="D297" s="12" t="s">
        <v>82</v>
      </c>
      <c r="E297" s="12">
        <v>3</v>
      </c>
      <c r="F297" s="12">
        <v>2</v>
      </c>
      <c r="G297" s="12">
        <v>3</v>
      </c>
      <c r="H297" s="12">
        <v>1</v>
      </c>
      <c r="I297" s="12">
        <v>2</v>
      </c>
      <c r="J297" s="12">
        <f t="shared" si="16"/>
        <v>2.2000000000000002</v>
      </c>
      <c r="K297" s="12">
        <f t="shared" si="17"/>
        <v>2</v>
      </c>
      <c r="L297" s="13" t="str">
        <f t="shared" si="18"/>
        <v>A</v>
      </c>
      <c r="M297" s="12" t="str">
        <f t="shared" si="19"/>
        <v>Aprobado</v>
      </c>
      <c r="N297" s="15">
        <v>0.2</v>
      </c>
    </row>
    <row r="298" spans="1:14" x14ac:dyDescent="0.25">
      <c r="A298" s="10" t="s">
        <v>33</v>
      </c>
      <c r="B298" s="10" t="s">
        <v>84</v>
      </c>
      <c r="C298" s="10" t="s">
        <v>34</v>
      </c>
      <c r="D298" s="10" t="s">
        <v>82</v>
      </c>
      <c r="E298" s="10">
        <v>1</v>
      </c>
      <c r="F298" s="10">
        <v>3</v>
      </c>
      <c r="G298" s="10">
        <v>0</v>
      </c>
      <c r="H298" s="10">
        <v>2</v>
      </c>
      <c r="I298" s="10">
        <v>3</v>
      </c>
      <c r="J298" s="10">
        <f t="shared" si="16"/>
        <v>1.8</v>
      </c>
      <c r="K298" s="10">
        <f t="shared" si="17"/>
        <v>2</v>
      </c>
      <c r="L298" s="11" t="str">
        <f t="shared" si="18"/>
        <v>A</v>
      </c>
      <c r="M298" s="10" t="str">
        <f t="shared" si="19"/>
        <v>Aprobado</v>
      </c>
      <c r="N298" s="14">
        <v>0.65</v>
      </c>
    </row>
    <row r="299" spans="1:14" x14ac:dyDescent="0.25">
      <c r="A299" s="12" t="s">
        <v>35</v>
      </c>
      <c r="B299" s="12" t="s">
        <v>84</v>
      </c>
      <c r="C299" s="12" t="s">
        <v>36</v>
      </c>
      <c r="D299" s="12" t="s">
        <v>82</v>
      </c>
      <c r="E299" s="12">
        <v>1</v>
      </c>
      <c r="F299" s="12">
        <v>1</v>
      </c>
      <c r="G299" s="12">
        <v>1</v>
      </c>
      <c r="H299" s="12">
        <v>1</v>
      </c>
      <c r="I299" s="12">
        <v>3</v>
      </c>
      <c r="J299" s="12">
        <f t="shared" si="16"/>
        <v>1.4</v>
      </c>
      <c r="K299" s="12">
        <f t="shared" si="17"/>
        <v>1</v>
      </c>
      <c r="L299" s="13" t="str">
        <f t="shared" si="18"/>
        <v>B</v>
      </c>
      <c r="M299" s="12" t="str">
        <f t="shared" si="19"/>
        <v>Desaprobado</v>
      </c>
      <c r="N299" s="15">
        <v>0.7</v>
      </c>
    </row>
    <row r="300" spans="1:14" x14ac:dyDescent="0.25">
      <c r="A300" s="10" t="s">
        <v>37</v>
      </c>
      <c r="B300" s="10" t="s">
        <v>84</v>
      </c>
      <c r="C300" s="10" t="s">
        <v>38</v>
      </c>
      <c r="D300" s="10" t="s">
        <v>82</v>
      </c>
      <c r="E300" s="10">
        <v>2</v>
      </c>
      <c r="F300" s="10">
        <v>1</v>
      </c>
      <c r="G300" s="10">
        <v>3</v>
      </c>
      <c r="H300" s="10">
        <v>1</v>
      </c>
      <c r="I300" s="10">
        <v>2</v>
      </c>
      <c r="J300" s="10">
        <f t="shared" si="16"/>
        <v>1.8</v>
      </c>
      <c r="K300" s="10">
        <f t="shared" si="17"/>
        <v>2</v>
      </c>
      <c r="L300" s="11" t="str">
        <f t="shared" si="18"/>
        <v>A</v>
      </c>
      <c r="M300" s="10" t="str">
        <f t="shared" si="19"/>
        <v>Aprobado</v>
      </c>
      <c r="N300" s="14">
        <v>0.9</v>
      </c>
    </row>
    <row r="301" spans="1:14" x14ac:dyDescent="0.25">
      <c r="A301" s="12" t="s">
        <v>39</v>
      </c>
      <c r="B301" s="12" t="s">
        <v>84</v>
      </c>
      <c r="C301" s="12" t="s">
        <v>40</v>
      </c>
      <c r="D301" s="12" t="s">
        <v>82</v>
      </c>
      <c r="E301" s="12">
        <v>1</v>
      </c>
      <c r="F301" s="12">
        <v>3</v>
      </c>
      <c r="G301" s="12">
        <v>1</v>
      </c>
      <c r="H301" s="12">
        <v>2</v>
      </c>
      <c r="I301" s="12">
        <v>1</v>
      </c>
      <c r="J301" s="12">
        <f t="shared" si="16"/>
        <v>1.6</v>
      </c>
      <c r="K301" s="12">
        <f t="shared" si="17"/>
        <v>2</v>
      </c>
      <c r="L301" s="13" t="str">
        <f t="shared" si="18"/>
        <v>A</v>
      </c>
      <c r="M301" s="12" t="str">
        <f t="shared" si="19"/>
        <v>Aprobado</v>
      </c>
      <c r="N301" s="15">
        <v>0.7</v>
      </c>
    </row>
    <row r="302" spans="1:14" x14ac:dyDescent="0.25">
      <c r="A302" s="10" t="s">
        <v>41</v>
      </c>
      <c r="B302" s="10" t="s">
        <v>84</v>
      </c>
      <c r="C302" s="10" t="s">
        <v>42</v>
      </c>
      <c r="D302" s="10" t="s">
        <v>82</v>
      </c>
      <c r="E302" s="10">
        <v>0</v>
      </c>
      <c r="F302" s="10">
        <v>1</v>
      </c>
      <c r="G302" s="10">
        <v>2</v>
      </c>
      <c r="H302" s="10">
        <v>0</v>
      </c>
      <c r="I302" s="10">
        <v>1</v>
      </c>
      <c r="J302" s="10">
        <f t="shared" si="16"/>
        <v>0.8</v>
      </c>
      <c r="K302" s="10">
        <f t="shared" si="17"/>
        <v>1</v>
      </c>
      <c r="L302" s="11" t="str">
        <f t="shared" si="18"/>
        <v>B</v>
      </c>
      <c r="M302" s="10" t="str">
        <f t="shared" si="19"/>
        <v>Desaprobado</v>
      </c>
      <c r="N302" s="14">
        <v>0.95</v>
      </c>
    </row>
    <row r="303" spans="1:14" x14ac:dyDescent="0.25">
      <c r="A303" s="12" t="s">
        <v>43</v>
      </c>
      <c r="B303" s="12" t="s">
        <v>84</v>
      </c>
      <c r="C303" s="12" t="s">
        <v>44</v>
      </c>
      <c r="D303" s="12" t="s">
        <v>82</v>
      </c>
      <c r="E303" s="12">
        <v>0</v>
      </c>
      <c r="F303" s="12">
        <v>0</v>
      </c>
      <c r="G303" s="12">
        <v>2</v>
      </c>
      <c r="H303" s="12">
        <v>1</v>
      </c>
      <c r="I303" s="12">
        <v>1</v>
      </c>
      <c r="J303" s="12">
        <f t="shared" si="16"/>
        <v>0.8</v>
      </c>
      <c r="K303" s="12">
        <f t="shared" si="17"/>
        <v>1</v>
      </c>
      <c r="L303" s="13" t="str">
        <f t="shared" si="18"/>
        <v>B</v>
      </c>
      <c r="M303" s="12" t="str">
        <f t="shared" si="19"/>
        <v>Desaprobado</v>
      </c>
      <c r="N303" s="15">
        <v>0.6</v>
      </c>
    </row>
    <row r="304" spans="1:14" x14ac:dyDescent="0.25">
      <c r="A304" s="10" t="s">
        <v>45</v>
      </c>
      <c r="B304" s="10" t="s">
        <v>84</v>
      </c>
      <c r="C304" s="10" t="s">
        <v>46</v>
      </c>
      <c r="D304" s="10" t="s">
        <v>82</v>
      </c>
      <c r="E304" s="10">
        <v>0</v>
      </c>
      <c r="F304" s="10">
        <v>1</v>
      </c>
      <c r="G304" s="10">
        <v>0</v>
      </c>
      <c r="H304" s="10">
        <v>0</v>
      </c>
      <c r="I304" s="10">
        <v>0</v>
      </c>
      <c r="J304" s="10">
        <f t="shared" si="16"/>
        <v>0.2</v>
      </c>
      <c r="K304" s="10">
        <f t="shared" si="17"/>
        <v>0</v>
      </c>
      <c r="L304" s="11" t="str">
        <f t="shared" si="18"/>
        <v>C</v>
      </c>
      <c r="M304" s="10" t="str">
        <f t="shared" si="19"/>
        <v>Desaprobado</v>
      </c>
      <c r="N304" s="14">
        <v>0.1</v>
      </c>
    </row>
    <row r="305" spans="1:14" x14ac:dyDescent="0.25">
      <c r="A305" s="12" t="s">
        <v>47</v>
      </c>
      <c r="B305" s="12" t="s">
        <v>84</v>
      </c>
      <c r="C305" s="12" t="s">
        <v>48</v>
      </c>
      <c r="D305" s="12" t="s">
        <v>82</v>
      </c>
      <c r="E305" s="12">
        <v>1</v>
      </c>
      <c r="F305" s="12">
        <v>1</v>
      </c>
      <c r="G305" s="12">
        <v>3</v>
      </c>
      <c r="H305" s="12">
        <v>0</v>
      </c>
      <c r="I305" s="12">
        <v>0</v>
      </c>
      <c r="J305" s="12">
        <f t="shared" si="16"/>
        <v>1</v>
      </c>
      <c r="K305" s="12">
        <f t="shared" si="17"/>
        <v>1</v>
      </c>
      <c r="L305" s="13" t="str">
        <f t="shared" si="18"/>
        <v>B</v>
      </c>
      <c r="M305" s="12" t="str">
        <f t="shared" si="19"/>
        <v>Desaprobado</v>
      </c>
      <c r="N305" s="15">
        <v>0.9</v>
      </c>
    </row>
    <row r="306" spans="1:14" x14ac:dyDescent="0.25">
      <c r="A306" s="10" t="s">
        <v>49</v>
      </c>
      <c r="B306" s="10" t="s">
        <v>84</v>
      </c>
      <c r="C306" s="10" t="s">
        <v>50</v>
      </c>
      <c r="D306" s="10" t="s">
        <v>82</v>
      </c>
      <c r="E306" s="10">
        <v>3</v>
      </c>
      <c r="F306" s="10">
        <v>2</v>
      </c>
      <c r="G306" s="10">
        <v>0</v>
      </c>
      <c r="H306" s="10">
        <v>1</v>
      </c>
      <c r="I306" s="10">
        <v>1</v>
      </c>
      <c r="J306" s="10">
        <f t="shared" si="16"/>
        <v>1.4</v>
      </c>
      <c r="K306" s="10">
        <f t="shared" si="17"/>
        <v>1</v>
      </c>
      <c r="L306" s="11" t="str">
        <f t="shared" si="18"/>
        <v>B</v>
      </c>
      <c r="M306" s="10" t="str">
        <f t="shared" si="19"/>
        <v>Desaprobado</v>
      </c>
      <c r="N306" s="14">
        <v>0.95</v>
      </c>
    </row>
    <row r="307" spans="1:14" x14ac:dyDescent="0.25">
      <c r="A307" s="12" t="s">
        <v>51</v>
      </c>
      <c r="B307" s="12" t="s">
        <v>84</v>
      </c>
      <c r="C307" s="12" t="s">
        <v>52</v>
      </c>
      <c r="D307" s="12" t="s">
        <v>82</v>
      </c>
      <c r="E307" s="12">
        <v>0</v>
      </c>
      <c r="F307" s="12">
        <v>2</v>
      </c>
      <c r="G307" s="12">
        <v>2</v>
      </c>
      <c r="H307" s="12">
        <v>3</v>
      </c>
      <c r="I307" s="12">
        <v>3</v>
      </c>
      <c r="J307" s="12">
        <f t="shared" si="16"/>
        <v>2</v>
      </c>
      <c r="K307" s="12">
        <f t="shared" si="17"/>
        <v>2</v>
      </c>
      <c r="L307" s="13" t="str">
        <f t="shared" si="18"/>
        <v>A</v>
      </c>
      <c r="M307" s="12" t="str">
        <f t="shared" si="19"/>
        <v>Aprobado</v>
      </c>
      <c r="N307" s="15">
        <v>0.8</v>
      </c>
    </row>
    <row r="308" spans="1:14" x14ac:dyDescent="0.25">
      <c r="A308" s="10" t="s">
        <v>53</v>
      </c>
      <c r="B308" s="10" t="s">
        <v>84</v>
      </c>
      <c r="C308" s="10" t="s">
        <v>54</v>
      </c>
      <c r="D308" s="10" t="s">
        <v>82</v>
      </c>
      <c r="E308" s="10">
        <v>3</v>
      </c>
      <c r="F308" s="10">
        <v>2</v>
      </c>
      <c r="G308" s="10">
        <v>2</v>
      </c>
      <c r="H308" s="10">
        <v>0</v>
      </c>
      <c r="I308" s="10">
        <v>3</v>
      </c>
      <c r="J308" s="10">
        <f t="shared" si="16"/>
        <v>2</v>
      </c>
      <c r="K308" s="10">
        <f t="shared" si="17"/>
        <v>2</v>
      </c>
      <c r="L308" s="11" t="str">
        <f t="shared" si="18"/>
        <v>A</v>
      </c>
      <c r="M308" s="10" t="str">
        <f t="shared" si="19"/>
        <v>Aprobado</v>
      </c>
      <c r="N308" s="14">
        <v>0.2</v>
      </c>
    </row>
    <row r="309" spans="1:14" x14ac:dyDescent="0.25">
      <c r="A309" s="12" t="s">
        <v>55</v>
      </c>
      <c r="B309" s="12" t="s">
        <v>84</v>
      </c>
      <c r="C309" s="12" t="s">
        <v>56</v>
      </c>
      <c r="D309" s="12" t="s">
        <v>82</v>
      </c>
      <c r="E309" s="12">
        <v>1</v>
      </c>
      <c r="F309" s="12">
        <v>0</v>
      </c>
      <c r="G309" s="12">
        <v>2</v>
      </c>
      <c r="H309" s="12">
        <v>0</v>
      </c>
      <c r="I309" s="12">
        <v>1</v>
      </c>
      <c r="J309" s="12">
        <f t="shared" si="16"/>
        <v>0.8</v>
      </c>
      <c r="K309" s="12">
        <f t="shared" si="17"/>
        <v>1</v>
      </c>
      <c r="L309" s="13" t="str">
        <f t="shared" si="18"/>
        <v>B</v>
      </c>
      <c r="M309" s="12" t="str">
        <f t="shared" si="19"/>
        <v>Desaprobado</v>
      </c>
      <c r="N309" s="15">
        <v>0.95</v>
      </c>
    </row>
    <row r="310" spans="1:14" x14ac:dyDescent="0.25">
      <c r="A310" s="10" t="s">
        <v>57</v>
      </c>
      <c r="B310" s="10" t="s">
        <v>84</v>
      </c>
      <c r="C310" s="10" t="s">
        <v>58</v>
      </c>
      <c r="D310" s="10" t="s">
        <v>82</v>
      </c>
      <c r="E310" s="10">
        <v>3</v>
      </c>
      <c r="F310" s="10">
        <v>1</v>
      </c>
      <c r="G310" s="10">
        <v>3</v>
      </c>
      <c r="H310" s="10">
        <v>2</v>
      </c>
      <c r="I310" s="10">
        <v>0</v>
      </c>
      <c r="J310" s="10">
        <f t="shared" si="16"/>
        <v>1.8</v>
      </c>
      <c r="K310" s="10">
        <f t="shared" si="17"/>
        <v>2</v>
      </c>
      <c r="L310" s="11" t="str">
        <f t="shared" si="18"/>
        <v>A</v>
      </c>
      <c r="M310" s="10" t="str">
        <f t="shared" si="19"/>
        <v>Aprobado</v>
      </c>
      <c r="N310" s="14">
        <v>0.8</v>
      </c>
    </row>
    <row r="311" spans="1:14" x14ac:dyDescent="0.25">
      <c r="A311" s="12" t="s">
        <v>59</v>
      </c>
      <c r="B311" s="12" t="s">
        <v>84</v>
      </c>
      <c r="C311" s="12" t="s">
        <v>60</v>
      </c>
      <c r="D311" s="12" t="s">
        <v>82</v>
      </c>
      <c r="E311" s="12">
        <v>1</v>
      </c>
      <c r="F311" s="12">
        <v>3</v>
      </c>
      <c r="G311" s="12">
        <v>2</v>
      </c>
      <c r="H311" s="12">
        <v>2</v>
      </c>
      <c r="I311" s="12">
        <v>3</v>
      </c>
      <c r="J311" s="12">
        <f t="shared" si="16"/>
        <v>2.2000000000000002</v>
      </c>
      <c r="K311" s="12">
        <f t="shared" si="17"/>
        <v>2</v>
      </c>
      <c r="L311" s="13" t="str">
        <f t="shared" si="18"/>
        <v>A</v>
      </c>
      <c r="M311" s="12" t="str">
        <f t="shared" si="19"/>
        <v>Aprobado</v>
      </c>
      <c r="N311" s="15">
        <v>0.25</v>
      </c>
    </row>
    <row r="312" spans="1:14" x14ac:dyDescent="0.25">
      <c r="A312" s="10" t="s">
        <v>61</v>
      </c>
      <c r="B312" s="10" t="s">
        <v>84</v>
      </c>
      <c r="C312" s="10" t="s">
        <v>62</v>
      </c>
      <c r="D312" s="10" t="s">
        <v>82</v>
      </c>
      <c r="E312" s="10">
        <v>0</v>
      </c>
      <c r="F312" s="10">
        <v>3</v>
      </c>
      <c r="G312" s="10">
        <v>3</v>
      </c>
      <c r="H312" s="10">
        <v>2</v>
      </c>
      <c r="I312" s="10">
        <v>1</v>
      </c>
      <c r="J312" s="10">
        <f t="shared" si="16"/>
        <v>1.8</v>
      </c>
      <c r="K312" s="10">
        <f t="shared" si="17"/>
        <v>2</v>
      </c>
      <c r="L312" s="11" t="str">
        <f t="shared" si="18"/>
        <v>A</v>
      </c>
      <c r="M312" s="10" t="str">
        <f t="shared" si="19"/>
        <v>Aprobado</v>
      </c>
      <c r="N312" s="14">
        <v>0.4</v>
      </c>
    </row>
    <row r="313" spans="1:14" x14ac:dyDescent="0.25">
      <c r="A313" s="12" t="s">
        <v>63</v>
      </c>
      <c r="B313" s="12" t="s">
        <v>84</v>
      </c>
      <c r="C313" s="12" t="s">
        <v>64</v>
      </c>
      <c r="D313" s="12" t="s">
        <v>82</v>
      </c>
      <c r="E313" s="12">
        <v>0</v>
      </c>
      <c r="F313" s="12">
        <v>0</v>
      </c>
      <c r="G313" s="12">
        <v>0</v>
      </c>
      <c r="H313" s="12">
        <v>2</v>
      </c>
      <c r="I313" s="12">
        <v>1</v>
      </c>
      <c r="J313" s="12">
        <f t="shared" si="16"/>
        <v>0.6</v>
      </c>
      <c r="K313" s="12">
        <f t="shared" si="17"/>
        <v>1</v>
      </c>
      <c r="L313" s="13" t="str">
        <f t="shared" si="18"/>
        <v>B</v>
      </c>
      <c r="M313" s="12" t="str">
        <f t="shared" si="19"/>
        <v>Desaprobado</v>
      </c>
      <c r="N313" s="15">
        <v>0.4</v>
      </c>
    </row>
    <row r="314" spans="1:14" x14ac:dyDescent="0.25">
      <c r="A314" s="10" t="s">
        <v>65</v>
      </c>
      <c r="B314" s="10" t="s">
        <v>84</v>
      </c>
      <c r="C314" s="10" t="s">
        <v>66</v>
      </c>
      <c r="D314" s="10" t="s">
        <v>82</v>
      </c>
      <c r="E314" s="10">
        <v>0</v>
      </c>
      <c r="F314" s="10">
        <v>3</v>
      </c>
      <c r="G314" s="10">
        <v>1</v>
      </c>
      <c r="H314" s="10">
        <v>0</v>
      </c>
      <c r="I314" s="10">
        <v>1</v>
      </c>
      <c r="J314" s="10">
        <f t="shared" si="16"/>
        <v>1</v>
      </c>
      <c r="K314" s="10">
        <f t="shared" si="17"/>
        <v>1</v>
      </c>
      <c r="L314" s="11" t="str">
        <f t="shared" si="18"/>
        <v>B</v>
      </c>
      <c r="M314" s="10" t="str">
        <f t="shared" si="19"/>
        <v>Desaprobado</v>
      </c>
      <c r="N314" s="14">
        <v>0.5</v>
      </c>
    </row>
    <row r="315" spans="1:14" x14ac:dyDescent="0.25">
      <c r="A315" s="12" t="s">
        <v>67</v>
      </c>
      <c r="B315" s="12" t="s">
        <v>84</v>
      </c>
      <c r="C315" s="12" t="s">
        <v>68</v>
      </c>
      <c r="D315" s="12" t="s">
        <v>82</v>
      </c>
      <c r="E315" s="12">
        <v>1</v>
      </c>
      <c r="F315" s="12">
        <v>1</v>
      </c>
      <c r="G315" s="12">
        <v>1</v>
      </c>
      <c r="H315" s="12">
        <v>0</v>
      </c>
      <c r="I315" s="12">
        <v>1</v>
      </c>
      <c r="J315" s="12">
        <f t="shared" si="16"/>
        <v>0.8</v>
      </c>
      <c r="K315" s="12">
        <f t="shared" si="17"/>
        <v>1</v>
      </c>
      <c r="L315" s="13" t="str">
        <f t="shared" si="18"/>
        <v>B</v>
      </c>
      <c r="M315" s="12" t="str">
        <f t="shared" si="19"/>
        <v>Desaprobado</v>
      </c>
      <c r="N315" s="15">
        <v>0.7</v>
      </c>
    </row>
    <row r="316" spans="1:14" x14ac:dyDescent="0.25">
      <c r="A316" s="10" t="s">
        <v>69</v>
      </c>
      <c r="B316" s="10" t="s">
        <v>84</v>
      </c>
      <c r="C316" s="10" t="s">
        <v>70</v>
      </c>
      <c r="D316" s="10" t="s">
        <v>82</v>
      </c>
      <c r="E316" s="10">
        <v>0</v>
      </c>
      <c r="F316" s="10">
        <v>0</v>
      </c>
      <c r="G316" s="10">
        <v>0</v>
      </c>
      <c r="H316" s="10">
        <v>0</v>
      </c>
      <c r="I316" s="10">
        <v>2</v>
      </c>
      <c r="J316" s="10">
        <f t="shared" si="16"/>
        <v>0.4</v>
      </c>
      <c r="K316" s="10">
        <f t="shared" si="17"/>
        <v>0</v>
      </c>
      <c r="L316" s="11" t="str">
        <f t="shared" si="18"/>
        <v>C</v>
      </c>
      <c r="M316" s="10" t="str">
        <f t="shared" si="19"/>
        <v>Desaprobado</v>
      </c>
      <c r="N316" s="14">
        <v>0.7</v>
      </c>
    </row>
    <row r="317" spans="1:14" x14ac:dyDescent="0.25">
      <c r="A317" s="12" t="s">
        <v>71</v>
      </c>
      <c r="B317" s="12" t="s">
        <v>84</v>
      </c>
      <c r="C317" s="12" t="s">
        <v>72</v>
      </c>
      <c r="D317" s="12" t="s">
        <v>82</v>
      </c>
      <c r="E317" s="12">
        <v>2</v>
      </c>
      <c r="F317" s="12">
        <v>3</v>
      </c>
      <c r="G317" s="12">
        <v>2</v>
      </c>
      <c r="H317" s="12">
        <v>3</v>
      </c>
      <c r="I317" s="12">
        <v>1</v>
      </c>
      <c r="J317" s="12">
        <f t="shared" si="16"/>
        <v>2.2000000000000002</v>
      </c>
      <c r="K317" s="12">
        <f t="shared" si="17"/>
        <v>2</v>
      </c>
      <c r="L317" s="13" t="str">
        <f t="shared" si="18"/>
        <v>A</v>
      </c>
      <c r="M317" s="12" t="str">
        <f t="shared" si="19"/>
        <v>Aprobado</v>
      </c>
      <c r="N317" s="15">
        <v>0.25</v>
      </c>
    </row>
    <row r="318" spans="1:14" x14ac:dyDescent="0.25">
      <c r="A318" s="10" t="s">
        <v>73</v>
      </c>
      <c r="B318" s="10" t="s">
        <v>84</v>
      </c>
      <c r="C318" s="10" t="s">
        <v>74</v>
      </c>
      <c r="D318" s="10" t="s">
        <v>82</v>
      </c>
      <c r="E318" s="10">
        <v>2</v>
      </c>
      <c r="F318" s="10">
        <v>3</v>
      </c>
      <c r="G318" s="10">
        <v>2</v>
      </c>
      <c r="H318" s="10">
        <v>1</v>
      </c>
      <c r="I318" s="10">
        <v>0</v>
      </c>
      <c r="J318" s="10">
        <f t="shared" si="16"/>
        <v>1.6</v>
      </c>
      <c r="K318" s="10">
        <f t="shared" si="17"/>
        <v>2</v>
      </c>
      <c r="L318" s="11" t="str">
        <f t="shared" si="18"/>
        <v>A</v>
      </c>
      <c r="M318" s="10" t="str">
        <f t="shared" si="19"/>
        <v>Aprobado</v>
      </c>
      <c r="N318" s="14">
        <v>0.2</v>
      </c>
    </row>
    <row r="319" spans="1:14" x14ac:dyDescent="0.25">
      <c r="A319" s="12" t="s">
        <v>75</v>
      </c>
      <c r="B319" s="12" t="s">
        <v>84</v>
      </c>
      <c r="C319" s="12" t="s">
        <v>76</v>
      </c>
      <c r="D319" s="12" t="s">
        <v>82</v>
      </c>
      <c r="E319" s="12">
        <v>2</v>
      </c>
      <c r="F319" s="12">
        <v>2</v>
      </c>
      <c r="G319" s="12">
        <v>2</v>
      </c>
      <c r="H319" s="12">
        <v>1</v>
      </c>
      <c r="I319" s="12">
        <v>1</v>
      </c>
      <c r="J319" s="12">
        <f t="shared" si="16"/>
        <v>1.6</v>
      </c>
      <c r="K319" s="12">
        <f t="shared" si="17"/>
        <v>2</v>
      </c>
      <c r="L319" s="13" t="str">
        <f t="shared" si="18"/>
        <v>A</v>
      </c>
      <c r="M319" s="12" t="str">
        <f t="shared" si="19"/>
        <v>Aprobado</v>
      </c>
      <c r="N319" s="15">
        <v>0.65</v>
      </c>
    </row>
    <row r="320" spans="1:14" x14ac:dyDescent="0.25">
      <c r="A320" s="10" t="s">
        <v>77</v>
      </c>
      <c r="B320" s="10" t="s">
        <v>84</v>
      </c>
      <c r="C320" s="10" t="s">
        <v>78</v>
      </c>
      <c r="D320" s="10" t="s">
        <v>82</v>
      </c>
      <c r="E320" s="10">
        <v>1</v>
      </c>
      <c r="F320" s="10">
        <v>0</v>
      </c>
      <c r="G320" s="10">
        <v>3</v>
      </c>
      <c r="H320" s="10">
        <v>1</v>
      </c>
      <c r="I320" s="10">
        <v>2</v>
      </c>
      <c r="J320" s="10">
        <f t="shared" si="16"/>
        <v>1.4</v>
      </c>
      <c r="K320" s="10">
        <f t="shared" si="17"/>
        <v>1</v>
      </c>
      <c r="L320" s="11" t="str">
        <f t="shared" si="18"/>
        <v>B</v>
      </c>
      <c r="M320" s="10" t="str">
        <f t="shared" si="19"/>
        <v>Desaprobado</v>
      </c>
      <c r="N320" s="14">
        <v>0.7</v>
      </c>
    </row>
    <row r="321" spans="1:14" x14ac:dyDescent="0.25">
      <c r="A321" s="12" t="s">
        <v>14</v>
      </c>
      <c r="B321" s="12" t="s">
        <v>84</v>
      </c>
      <c r="C321" s="12" t="s">
        <v>16</v>
      </c>
      <c r="D321" s="12" t="s">
        <v>83</v>
      </c>
      <c r="E321" s="12">
        <v>1</v>
      </c>
      <c r="F321" s="12">
        <v>0</v>
      </c>
      <c r="G321" s="12">
        <v>2</v>
      </c>
      <c r="H321" s="12">
        <v>3</v>
      </c>
      <c r="I321" s="12">
        <v>2</v>
      </c>
      <c r="J321" s="12">
        <f t="shared" si="16"/>
        <v>1.6</v>
      </c>
      <c r="K321" s="12">
        <f t="shared" si="17"/>
        <v>2</v>
      </c>
      <c r="L321" s="13" t="str">
        <f t="shared" si="18"/>
        <v>A</v>
      </c>
      <c r="M321" s="12" t="str">
        <f t="shared" si="19"/>
        <v>Aprobado</v>
      </c>
      <c r="N321" s="15">
        <v>0.9</v>
      </c>
    </row>
    <row r="322" spans="1:14" x14ac:dyDescent="0.25">
      <c r="A322" s="10" t="s">
        <v>19</v>
      </c>
      <c r="B322" s="10" t="s">
        <v>84</v>
      </c>
      <c r="C322" s="10" t="s">
        <v>20</v>
      </c>
      <c r="D322" s="10" t="s">
        <v>83</v>
      </c>
      <c r="E322" s="10">
        <v>2</v>
      </c>
      <c r="F322" s="10">
        <v>2</v>
      </c>
      <c r="G322" s="10">
        <v>0</v>
      </c>
      <c r="H322" s="10">
        <v>2</v>
      </c>
      <c r="I322" s="10">
        <v>1</v>
      </c>
      <c r="J322" s="10">
        <f t="shared" si="16"/>
        <v>1.4</v>
      </c>
      <c r="K322" s="10">
        <f t="shared" si="17"/>
        <v>1</v>
      </c>
      <c r="L322" s="11" t="str">
        <f t="shared" si="18"/>
        <v>B</v>
      </c>
      <c r="M322" s="10" t="str">
        <f t="shared" si="19"/>
        <v>Desaprobado</v>
      </c>
      <c r="N322" s="14">
        <v>0.7</v>
      </c>
    </row>
    <row r="323" spans="1:14" x14ac:dyDescent="0.25">
      <c r="A323" s="12" t="s">
        <v>22</v>
      </c>
      <c r="B323" s="12" t="s">
        <v>84</v>
      </c>
      <c r="C323" s="12" t="s">
        <v>23</v>
      </c>
      <c r="D323" s="12" t="s">
        <v>83</v>
      </c>
      <c r="E323" s="12">
        <v>0</v>
      </c>
      <c r="F323" s="12">
        <v>3</v>
      </c>
      <c r="G323" s="12">
        <v>1</v>
      </c>
      <c r="H323" s="12">
        <v>1</v>
      </c>
      <c r="I323" s="12">
        <v>2</v>
      </c>
      <c r="J323" s="12">
        <f t="shared" ref="J323:J386" si="20">+AVERAGE(E323:I323)</f>
        <v>1.4</v>
      </c>
      <c r="K323" s="12">
        <f t="shared" ref="K323:K386" si="21">+ROUND(J323,0)</f>
        <v>1</v>
      </c>
      <c r="L323" s="13" t="str">
        <f t="shared" ref="L323:L386" si="22">+_xlfn.XLOOKUP(K323,$R$3:$R$6,$S$3:$S$6)</f>
        <v>B</v>
      </c>
      <c r="M323" s="12" t="str">
        <f t="shared" ref="M323:M386" si="23">+IF(OR(L323="AD",L323="A"),"Aprobado","Desaprobado")</f>
        <v>Desaprobado</v>
      </c>
      <c r="N323" s="15">
        <v>0.95</v>
      </c>
    </row>
    <row r="324" spans="1:14" x14ac:dyDescent="0.25">
      <c r="A324" s="10" t="s">
        <v>25</v>
      </c>
      <c r="B324" s="10" t="s">
        <v>84</v>
      </c>
      <c r="C324" s="10" t="s">
        <v>26</v>
      </c>
      <c r="D324" s="10" t="s">
        <v>83</v>
      </c>
      <c r="E324" s="10">
        <v>2</v>
      </c>
      <c r="F324" s="10">
        <v>3</v>
      </c>
      <c r="G324" s="10">
        <v>0</v>
      </c>
      <c r="H324" s="10">
        <v>0</v>
      </c>
      <c r="I324" s="10">
        <v>0</v>
      </c>
      <c r="J324" s="10">
        <f t="shared" si="20"/>
        <v>1</v>
      </c>
      <c r="K324" s="10">
        <f t="shared" si="21"/>
        <v>1</v>
      </c>
      <c r="L324" s="11" t="str">
        <f t="shared" si="22"/>
        <v>B</v>
      </c>
      <c r="M324" s="10" t="str">
        <f t="shared" si="23"/>
        <v>Desaprobado</v>
      </c>
      <c r="N324" s="14">
        <v>0.6</v>
      </c>
    </row>
    <row r="325" spans="1:14" x14ac:dyDescent="0.25">
      <c r="A325" s="12" t="s">
        <v>28</v>
      </c>
      <c r="B325" s="12" t="s">
        <v>84</v>
      </c>
      <c r="C325" s="12" t="s">
        <v>29</v>
      </c>
      <c r="D325" s="12" t="s">
        <v>83</v>
      </c>
      <c r="E325" s="12">
        <v>2</v>
      </c>
      <c r="F325" s="12">
        <v>0</v>
      </c>
      <c r="G325" s="12">
        <v>1</v>
      </c>
      <c r="H325" s="12">
        <v>2</v>
      </c>
      <c r="I325" s="12">
        <v>3</v>
      </c>
      <c r="J325" s="12">
        <f t="shared" si="20"/>
        <v>1.6</v>
      </c>
      <c r="K325" s="12">
        <f t="shared" si="21"/>
        <v>2</v>
      </c>
      <c r="L325" s="13" t="str">
        <f t="shared" si="22"/>
        <v>A</v>
      </c>
      <c r="M325" s="12" t="str">
        <f t="shared" si="23"/>
        <v>Aprobado</v>
      </c>
      <c r="N325" s="15">
        <v>0.1</v>
      </c>
    </row>
    <row r="326" spans="1:14" x14ac:dyDescent="0.25">
      <c r="A326" s="10" t="s">
        <v>31</v>
      </c>
      <c r="B326" s="10" t="s">
        <v>84</v>
      </c>
      <c r="C326" s="10" t="s">
        <v>32</v>
      </c>
      <c r="D326" s="10" t="s">
        <v>83</v>
      </c>
      <c r="E326" s="10">
        <v>2</v>
      </c>
      <c r="F326" s="10">
        <v>0</v>
      </c>
      <c r="G326" s="10">
        <v>0</v>
      </c>
      <c r="H326" s="10">
        <v>0</v>
      </c>
      <c r="I326" s="10">
        <v>0</v>
      </c>
      <c r="J326" s="10">
        <f t="shared" si="20"/>
        <v>0.4</v>
      </c>
      <c r="K326" s="10">
        <f t="shared" si="21"/>
        <v>0</v>
      </c>
      <c r="L326" s="11" t="str">
        <f t="shared" si="22"/>
        <v>C</v>
      </c>
      <c r="M326" s="10" t="str">
        <f t="shared" si="23"/>
        <v>Desaprobado</v>
      </c>
      <c r="N326" s="14">
        <v>0.9</v>
      </c>
    </row>
    <row r="327" spans="1:14" x14ac:dyDescent="0.25">
      <c r="A327" s="12" t="s">
        <v>33</v>
      </c>
      <c r="B327" s="12" t="s">
        <v>84</v>
      </c>
      <c r="C327" s="12" t="s">
        <v>34</v>
      </c>
      <c r="D327" s="12" t="s">
        <v>83</v>
      </c>
      <c r="E327" s="12">
        <v>1</v>
      </c>
      <c r="F327" s="12">
        <v>2</v>
      </c>
      <c r="G327" s="12">
        <v>2</v>
      </c>
      <c r="H327" s="12">
        <v>2</v>
      </c>
      <c r="I327" s="12">
        <v>2</v>
      </c>
      <c r="J327" s="12">
        <f t="shared" si="20"/>
        <v>1.8</v>
      </c>
      <c r="K327" s="12">
        <f t="shared" si="21"/>
        <v>2</v>
      </c>
      <c r="L327" s="13" t="str">
        <f t="shared" si="22"/>
        <v>A</v>
      </c>
      <c r="M327" s="12" t="str">
        <f t="shared" si="23"/>
        <v>Aprobado</v>
      </c>
      <c r="N327" s="15">
        <v>0.95</v>
      </c>
    </row>
    <row r="328" spans="1:14" x14ac:dyDescent="0.25">
      <c r="A328" s="10" t="s">
        <v>35</v>
      </c>
      <c r="B328" s="10" t="s">
        <v>84</v>
      </c>
      <c r="C328" s="10" t="s">
        <v>36</v>
      </c>
      <c r="D328" s="10" t="s">
        <v>83</v>
      </c>
      <c r="E328" s="10">
        <v>2</v>
      </c>
      <c r="F328" s="10">
        <v>1</v>
      </c>
      <c r="G328" s="10">
        <v>2</v>
      </c>
      <c r="H328" s="10">
        <v>1</v>
      </c>
      <c r="I328" s="10">
        <v>0</v>
      </c>
      <c r="J328" s="10">
        <f t="shared" si="20"/>
        <v>1.2</v>
      </c>
      <c r="K328" s="10">
        <f t="shared" si="21"/>
        <v>1</v>
      </c>
      <c r="L328" s="11" t="str">
        <f t="shared" si="22"/>
        <v>B</v>
      </c>
      <c r="M328" s="10" t="str">
        <f t="shared" si="23"/>
        <v>Desaprobado</v>
      </c>
      <c r="N328" s="14">
        <v>0.6</v>
      </c>
    </row>
    <row r="329" spans="1:14" x14ac:dyDescent="0.25">
      <c r="A329" s="12" t="s">
        <v>37</v>
      </c>
      <c r="B329" s="12" t="s">
        <v>84</v>
      </c>
      <c r="C329" s="12" t="s">
        <v>38</v>
      </c>
      <c r="D329" s="12" t="s">
        <v>83</v>
      </c>
      <c r="E329" s="12">
        <v>2</v>
      </c>
      <c r="F329" s="12">
        <v>1</v>
      </c>
      <c r="G329" s="12">
        <v>0</v>
      </c>
      <c r="H329" s="12">
        <v>2</v>
      </c>
      <c r="I329" s="12">
        <v>0</v>
      </c>
      <c r="J329" s="12">
        <f t="shared" si="20"/>
        <v>1</v>
      </c>
      <c r="K329" s="12">
        <f t="shared" si="21"/>
        <v>1</v>
      </c>
      <c r="L329" s="13" t="str">
        <f t="shared" si="22"/>
        <v>B</v>
      </c>
      <c r="M329" s="12" t="str">
        <f t="shared" si="23"/>
        <v>Desaprobado</v>
      </c>
      <c r="N329" s="15">
        <v>0.2</v>
      </c>
    </row>
    <row r="330" spans="1:14" x14ac:dyDescent="0.25">
      <c r="A330" s="10" t="s">
        <v>39</v>
      </c>
      <c r="B330" s="10" t="s">
        <v>84</v>
      </c>
      <c r="C330" s="10" t="s">
        <v>40</v>
      </c>
      <c r="D330" s="10" t="s">
        <v>83</v>
      </c>
      <c r="E330" s="10">
        <v>1</v>
      </c>
      <c r="F330" s="10">
        <v>1</v>
      </c>
      <c r="G330" s="10">
        <v>3</v>
      </c>
      <c r="H330" s="10">
        <v>2</v>
      </c>
      <c r="I330" s="10">
        <v>2</v>
      </c>
      <c r="J330" s="10">
        <f t="shared" si="20"/>
        <v>1.8</v>
      </c>
      <c r="K330" s="10">
        <f t="shared" si="21"/>
        <v>2</v>
      </c>
      <c r="L330" s="11" t="str">
        <f t="shared" si="22"/>
        <v>A</v>
      </c>
      <c r="M330" s="10" t="str">
        <f t="shared" si="23"/>
        <v>Aprobado</v>
      </c>
      <c r="N330" s="14">
        <v>0.95</v>
      </c>
    </row>
    <row r="331" spans="1:14" x14ac:dyDescent="0.25">
      <c r="A331" s="12" t="s">
        <v>41</v>
      </c>
      <c r="B331" s="12" t="s">
        <v>84</v>
      </c>
      <c r="C331" s="12" t="s">
        <v>42</v>
      </c>
      <c r="D331" s="12" t="s">
        <v>83</v>
      </c>
      <c r="E331" s="12">
        <v>1</v>
      </c>
      <c r="F331" s="12">
        <v>3</v>
      </c>
      <c r="G331" s="12">
        <v>0</v>
      </c>
      <c r="H331" s="12">
        <v>0</v>
      </c>
      <c r="I331" s="12">
        <v>1</v>
      </c>
      <c r="J331" s="12">
        <f t="shared" si="20"/>
        <v>1</v>
      </c>
      <c r="K331" s="12">
        <f t="shared" si="21"/>
        <v>1</v>
      </c>
      <c r="L331" s="13" t="str">
        <f t="shared" si="22"/>
        <v>B</v>
      </c>
      <c r="M331" s="12" t="str">
        <f t="shared" si="23"/>
        <v>Desaprobado</v>
      </c>
      <c r="N331" s="15">
        <v>0.8</v>
      </c>
    </row>
    <row r="332" spans="1:14" x14ac:dyDescent="0.25">
      <c r="A332" s="10" t="s">
        <v>43</v>
      </c>
      <c r="B332" s="10" t="s">
        <v>84</v>
      </c>
      <c r="C332" s="10" t="s">
        <v>44</v>
      </c>
      <c r="D332" s="10" t="s">
        <v>83</v>
      </c>
      <c r="E332" s="10">
        <v>2</v>
      </c>
      <c r="F332" s="10">
        <v>3</v>
      </c>
      <c r="G332" s="10">
        <v>3</v>
      </c>
      <c r="H332" s="10">
        <v>2</v>
      </c>
      <c r="I332" s="10">
        <v>2</v>
      </c>
      <c r="J332" s="10">
        <f t="shared" si="20"/>
        <v>2.4</v>
      </c>
      <c r="K332" s="10">
        <f t="shared" si="21"/>
        <v>2</v>
      </c>
      <c r="L332" s="11" t="str">
        <f t="shared" si="22"/>
        <v>A</v>
      </c>
      <c r="M332" s="10" t="str">
        <f t="shared" si="23"/>
        <v>Aprobado</v>
      </c>
      <c r="N332" s="14">
        <v>0.25</v>
      </c>
    </row>
    <row r="333" spans="1:14" x14ac:dyDescent="0.25">
      <c r="A333" s="12" t="s">
        <v>45</v>
      </c>
      <c r="B333" s="12" t="s">
        <v>84</v>
      </c>
      <c r="C333" s="12" t="s">
        <v>46</v>
      </c>
      <c r="D333" s="12" t="s">
        <v>83</v>
      </c>
      <c r="E333" s="12">
        <v>1</v>
      </c>
      <c r="F333" s="12">
        <v>3</v>
      </c>
      <c r="G333" s="12">
        <v>0</v>
      </c>
      <c r="H333" s="12">
        <v>0</v>
      </c>
      <c r="I333" s="12">
        <v>0</v>
      </c>
      <c r="J333" s="12">
        <f t="shared" si="20"/>
        <v>0.8</v>
      </c>
      <c r="K333" s="12">
        <f t="shared" si="21"/>
        <v>1</v>
      </c>
      <c r="L333" s="13" t="str">
        <f t="shared" si="22"/>
        <v>B</v>
      </c>
      <c r="M333" s="12" t="str">
        <f t="shared" si="23"/>
        <v>Desaprobado</v>
      </c>
      <c r="N333" s="15">
        <v>0.4</v>
      </c>
    </row>
    <row r="334" spans="1:14" x14ac:dyDescent="0.25">
      <c r="A334" s="10" t="s">
        <v>47</v>
      </c>
      <c r="B334" s="10" t="s">
        <v>84</v>
      </c>
      <c r="C334" s="10" t="s">
        <v>48</v>
      </c>
      <c r="D334" s="10" t="s">
        <v>83</v>
      </c>
      <c r="E334" s="10">
        <v>0</v>
      </c>
      <c r="F334" s="10">
        <v>3</v>
      </c>
      <c r="G334" s="10">
        <v>3</v>
      </c>
      <c r="H334" s="10">
        <v>1</v>
      </c>
      <c r="I334" s="10">
        <v>2</v>
      </c>
      <c r="J334" s="10">
        <f t="shared" si="20"/>
        <v>1.8</v>
      </c>
      <c r="K334" s="10">
        <f t="shared" si="21"/>
        <v>2</v>
      </c>
      <c r="L334" s="11" t="str">
        <f t="shared" si="22"/>
        <v>A</v>
      </c>
      <c r="M334" s="10" t="str">
        <f t="shared" si="23"/>
        <v>Aprobado</v>
      </c>
      <c r="N334" s="14">
        <v>0.4</v>
      </c>
    </row>
    <row r="335" spans="1:14" x14ac:dyDescent="0.25">
      <c r="A335" s="12" t="s">
        <v>49</v>
      </c>
      <c r="B335" s="12" t="s">
        <v>84</v>
      </c>
      <c r="C335" s="12" t="s">
        <v>50</v>
      </c>
      <c r="D335" s="12" t="s">
        <v>83</v>
      </c>
      <c r="E335" s="12">
        <v>0</v>
      </c>
      <c r="F335" s="12">
        <v>0</v>
      </c>
      <c r="G335" s="12">
        <v>1</v>
      </c>
      <c r="H335" s="12">
        <v>3</v>
      </c>
      <c r="I335" s="12">
        <v>0</v>
      </c>
      <c r="J335" s="12">
        <f t="shared" si="20"/>
        <v>0.8</v>
      </c>
      <c r="K335" s="12">
        <f t="shared" si="21"/>
        <v>1</v>
      </c>
      <c r="L335" s="13" t="str">
        <f t="shared" si="22"/>
        <v>B</v>
      </c>
      <c r="M335" s="12" t="str">
        <f t="shared" si="23"/>
        <v>Desaprobado</v>
      </c>
      <c r="N335" s="15">
        <v>0.5</v>
      </c>
    </row>
    <row r="336" spans="1:14" x14ac:dyDescent="0.25">
      <c r="A336" s="10" t="s">
        <v>51</v>
      </c>
      <c r="B336" s="10" t="s">
        <v>84</v>
      </c>
      <c r="C336" s="10" t="s">
        <v>52</v>
      </c>
      <c r="D336" s="10" t="s">
        <v>83</v>
      </c>
      <c r="E336" s="10">
        <v>0</v>
      </c>
      <c r="F336" s="10">
        <v>1</v>
      </c>
      <c r="G336" s="10">
        <v>1</v>
      </c>
      <c r="H336" s="10">
        <v>2</v>
      </c>
      <c r="I336" s="10">
        <v>0</v>
      </c>
      <c r="J336" s="10">
        <f t="shared" si="20"/>
        <v>0.8</v>
      </c>
      <c r="K336" s="10">
        <f t="shared" si="21"/>
        <v>1</v>
      </c>
      <c r="L336" s="11" t="str">
        <f t="shared" si="22"/>
        <v>B</v>
      </c>
      <c r="M336" s="10" t="str">
        <f t="shared" si="23"/>
        <v>Desaprobado</v>
      </c>
      <c r="N336" s="14">
        <v>0.7</v>
      </c>
    </row>
    <row r="337" spans="1:14" x14ac:dyDescent="0.25">
      <c r="A337" s="12" t="s">
        <v>53</v>
      </c>
      <c r="B337" s="12" t="s">
        <v>84</v>
      </c>
      <c r="C337" s="12" t="s">
        <v>54</v>
      </c>
      <c r="D337" s="12" t="s">
        <v>83</v>
      </c>
      <c r="E337" s="12">
        <v>1</v>
      </c>
      <c r="F337" s="12">
        <v>2</v>
      </c>
      <c r="G337" s="12">
        <v>2</v>
      </c>
      <c r="H337" s="12">
        <v>3</v>
      </c>
      <c r="I337" s="12">
        <v>0</v>
      </c>
      <c r="J337" s="12">
        <f t="shared" si="20"/>
        <v>1.6</v>
      </c>
      <c r="K337" s="12">
        <f t="shared" si="21"/>
        <v>2</v>
      </c>
      <c r="L337" s="13" t="str">
        <f t="shared" si="22"/>
        <v>A</v>
      </c>
      <c r="M337" s="12" t="str">
        <f t="shared" si="23"/>
        <v>Aprobado</v>
      </c>
      <c r="N337" s="15">
        <v>0.7</v>
      </c>
    </row>
    <row r="338" spans="1:14" x14ac:dyDescent="0.25">
      <c r="A338" s="10" t="s">
        <v>55</v>
      </c>
      <c r="B338" s="10" t="s">
        <v>84</v>
      </c>
      <c r="C338" s="10" t="s">
        <v>56</v>
      </c>
      <c r="D338" s="10" t="s">
        <v>83</v>
      </c>
      <c r="E338" s="10">
        <v>3</v>
      </c>
      <c r="F338" s="10">
        <v>1</v>
      </c>
      <c r="G338" s="10">
        <v>3</v>
      </c>
      <c r="H338" s="10">
        <v>2</v>
      </c>
      <c r="I338" s="10">
        <v>3</v>
      </c>
      <c r="J338" s="10">
        <f t="shared" si="20"/>
        <v>2.4</v>
      </c>
      <c r="K338" s="10">
        <f t="shared" si="21"/>
        <v>2</v>
      </c>
      <c r="L338" s="11" t="str">
        <f t="shared" si="22"/>
        <v>A</v>
      </c>
      <c r="M338" s="10" t="str">
        <f t="shared" si="23"/>
        <v>Aprobado</v>
      </c>
      <c r="N338" s="14">
        <v>0.25</v>
      </c>
    </row>
    <row r="339" spans="1:14" x14ac:dyDescent="0.25">
      <c r="A339" s="12" t="s">
        <v>57</v>
      </c>
      <c r="B339" s="12" t="s">
        <v>84</v>
      </c>
      <c r="C339" s="12" t="s">
        <v>58</v>
      </c>
      <c r="D339" s="12" t="s">
        <v>83</v>
      </c>
      <c r="E339" s="12">
        <v>0</v>
      </c>
      <c r="F339" s="12">
        <v>2</v>
      </c>
      <c r="G339" s="12">
        <v>3</v>
      </c>
      <c r="H339" s="12">
        <v>1</v>
      </c>
      <c r="I339" s="12">
        <v>0</v>
      </c>
      <c r="J339" s="12">
        <f t="shared" si="20"/>
        <v>1.2</v>
      </c>
      <c r="K339" s="12">
        <f t="shared" si="21"/>
        <v>1</v>
      </c>
      <c r="L339" s="13" t="str">
        <f t="shared" si="22"/>
        <v>B</v>
      </c>
      <c r="M339" s="12" t="str">
        <f t="shared" si="23"/>
        <v>Desaprobado</v>
      </c>
      <c r="N339" s="15">
        <v>0.2</v>
      </c>
    </row>
    <row r="340" spans="1:14" x14ac:dyDescent="0.25">
      <c r="A340" s="10" t="s">
        <v>59</v>
      </c>
      <c r="B340" s="10" t="s">
        <v>84</v>
      </c>
      <c r="C340" s="10" t="s">
        <v>60</v>
      </c>
      <c r="D340" s="10" t="s">
        <v>83</v>
      </c>
      <c r="E340" s="10">
        <v>2</v>
      </c>
      <c r="F340" s="10">
        <v>2</v>
      </c>
      <c r="G340" s="10">
        <v>3</v>
      </c>
      <c r="H340" s="10">
        <v>2</v>
      </c>
      <c r="I340" s="10">
        <v>1</v>
      </c>
      <c r="J340" s="10">
        <f t="shared" si="20"/>
        <v>2</v>
      </c>
      <c r="K340" s="10">
        <f t="shared" si="21"/>
        <v>2</v>
      </c>
      <c r="L340" s="11" t="str">
        <f t="shared" si="22"/>
        <v>A</v>
      </c>
      <c r="M340" s="10" t="str">
        <f t="shared" si="23"/>
        <v>Aprobado</v>
      </c>
      <c r="N340" s="14">
        <v>0.65</v>
      </c>
    </row>
    <row r="341" spans="1:14" x14ac:dyDescent="0.25">
      <c r="A341" s="12" t="s">
        <v>61</v>
      </c>
      <c r="B341" s="12" t="s">
        <v>84</v>
      </c>
      <c r="C341" s="12" t="s">
        <v>62</v>
      </c>
      <c r="D341" s="12" t="s">
        <v>83</v>
      </c>
      <c r="E341" s="12">
        <v>3</v>
      </c>
      <c r="F341" s="12">
        <v>1</v>
      </c>
      <c r="G341" s="12">
        <v>3</v>
      </c>
      <c r="H341" s="12">
        <v>2</v>
      </c>
      <c r="I341" s="12">
        <v>1</v>
      </c>
      <c r="J341" s="12">
        <f t="shared" si="20"/>
        <v>2</v>
      </c>
      <c r="K341" s="12">
        <f t="shared" si="21"/>
        <v>2</v>
      </c>
      <c r="L341" s="13" t="str">
        <f t="shared" si="22"/>
        <v>A</v>
      </c>
      <c r="M341" s="12" t="str">
        <f t="shared" si="23"/>
        <v>Aprobado</v>
      </c>
      <c r="N341" s="15">
        <v>0.7</v>
      </c>
    </row>
    <row r="342" spans="1:14" x14ac:dyDescent="0.25">
      <c r="A342" s="10" t="s">
        <v>63</v>
      </c>
      <c r="B342" s="10" t="s">
        <v>84</v>
      </c>
      <c r="C342" s="10" t="s">
        <v>64</v>
      </c>
      <c r="D342" s="10" t="s">
        <v>83</v>
      </c>
      <c r="E342" s="10">
        <v>0</v>
      </c>
      <c r="F342" s="10">
        <v>1</v>
      </c>
      <c r="G342" s="10">
        <v>2</v>
      </c>
      <c r="H342" s="10">
        <v>3</v>
      </c>
      <c r="I342" s="10">
        <v>2</v>
      </c>
      <c r="J342" s="10">
        <f t="shared" si="20"/>
        <v>1.6</v>
      </c>
      <c r="K342" s="10">
        <f t="shared" si="21"/>
        <v>2</v>
      </c>
      <c r="L342" s="11" t="str">
        <f t="shared" si="22"/>
        <v>A</v>
      </c>
      <c r="M342" s="10" t="str">
        <f t="shared" si="23"/>
        <v>Aprobado</v>
      </c>
      <c r="N342" s="14">
        <v>0.9</v>
      </c>
    </row>
    <row r="343" spans="1:14" x14ac:dyDescent="0.25">
      <c r="A343" s="12" t="s">
        <v>65</v>
      </c>
      <c r="B343" s="12" t="s">
        <v>84</v>
      </c>
      <c r="C343" s="12" t="s">
        <v>66</v>
      </c>
      <c r="D343" s="12" t="s">
        <v>83</v>
      </c>
      <c r="E343" s="12">
        <v>2</v>
      </c>
      <c r="F343" s="12">
        <v>1</v>
      </c>
      <c r="G343" s="12">
        <v>1</v>
      </c>
      <c r="H343" s="12">
        <v>2</v>
      </c>
      <c r="I343" s="12">
        <v>0</v>
      </c>
      <c r="J343" s="12">
        <f t="shared" si="20"/>
        <v>1.2</v>
      </c>
      <c r="K343" s="12">
        <f t="shared" si="21"/>
        <v>1</v>
      </c>
      <c r="L343" s="13" t="str">
        <f t="shared" si="22"/>
        <v>B</v>
      </c>
      <c r="M343" s="12" t="str">
        <f t="shared" si="23"/>
        <v>Desaprobado</v>
      </c>
      <c r="N343" s="15">
        <v>0.7</v>
      </c>
    </row>
    <row r="344" spans="1:14" x14ac:dyDescent="0.25">
      <c r="A344" s="10" t="s">
        <v>67</v>
      </c>
      <c r="B344" s="10" t="s">
        <v>84</v>
      </c>
      <c r="C344" s="10" t="s">
        <v>68</v>
      </c>
      <c r="D344" s="10" t="s">
        <v>83</v>
      </c>
      <c r="E344" s="10">
        <v>3</v>
      </c>
      <c r="F344" s="10">
        <v>3</v>
      </c>
      <c r="G344" s="10">
        <v>3</v>
      </c>
      <c r="H344" s="10">
        <v>1</v>
      </c>
      <c r="I344" s="10">
        <v>2</v>
      </c>
      <c r="J344" s="10">
        <f t="shared" si="20"/>
        <v>2.4</v>
      </c>
      <c r="K344" s="10">
        <f t="shared" si="21"/>
        <v>2</v>
      </c>
      <c r="L344" s="11" t="str">
        <f t="shared" si="22"/>
        <v>A</v>
      </c>
      <c r="M344" s="10" t="str">
        <f t="shared" si="23"/>
        <v>Aprobado</v>
      </c>
      <c r="N344" s="14">
        <v>0.95</v>
      </c>
    </row>
    <row r="345" spans="1:14" x14ac:dyDescent="0.25">
      <c r="A345" s="12" t="s">
        <v>69</v>
      </c>
      <c r="B345" s="12" t="s">
        <v>84</v>
      </c>
      <c r="C345" s="12" t="s">
        <v>70</v>
      </c>
      <c r="D345" s="12" t="s">
        <v>83</v>
      </c>
      <c r="E345" s="12">
        <v>0</v>
      </c>
      <c r="F345" s="12">
        <v>2</v>
      </c>
      <c r="G345" s="12">
        <v>2</v>
      </c>
      <c r="H345" s="12">
        <v>3</v>
      </c>
      <c r="I345" s="12">
        <v>2</v>
      </c>
      <c r="J345" s="12">
        <f t="shared" si="20"/>
        <v>1.8</v>
      </c>
      <c r="K345" s="12">
        <f t="shared" si="21"/>
        <v>2</v>
      </c>
      <c r="L345" s="13" t="str">
        <f t="shared" si="22"/>
        <v>A</v>
      </c>
      <c r="M345" s="12" t="str">
        <f t="shared" si="23"/>
        <v>Aprobado</v>
      </c>
      <c r="N345" s="15">
        <v>0.6</v>
      </c>
    </row>
    <row r="346" spans="1:14" x14ac:dyDescent="0.25">
      <c r="A346" s="10" t="s">
        <v>71</v>
      </c>
      <c r="B346" s="10" t="s">
        <v>84</v>
      </c>
      <c r="C346" s="10" t="s">
        <v>72</v>
      </c>
      <c r="D346" s="10" t="s">
        <v>83</v>
      </c>
      <c r="E346" s="10">
        <v>1</v>
      </c>
      <c r="F346" s="10">
        <v>2</v>
      </c>
      <c r="G346" s="10">
        <v>2</v>
      </c>
      <c r="H346" s="10">
        <v>1</v>
      </c>
      <c r="I346" s="10">
        <v>2</v>
      </c>
      <c r="J346" s="10">
        <f t="shared" si="20"/>
        <v>1.6</v>
      </c>
      <c r="K346" s="10">
        <f t="shared" si="21"/>
        <v>2</v>
      </c>
      <c r="L346" s="11" t="str">
        <f t="shared" si="22"/>
        <v>A</v>
      </c>
      <c r="M346" s="10" t="str">
        <f t="shared" si="23"/>
        <v>Aprobado</v>
      </c>
      <c r="N346" s="14">
        <v>0.1</v>
      </c>
    </row>
    <row r="347" spans="1:14" x14ac:dyDescent="0.25">
      <c r="A347" s="12" t="s">
        <v>73</v>
      </c>
      <c r="B347" s="12" t="s">
        <v>84</v>
      </c>
      <c r="C347" s="12" t="s">
        <v>74</v>
      </c>
      <c r="D347" s="12" t="s">
        <v>83</v>
      </c>
      <c r="E347" s="12">
        <v>0</v>
      </c>
      <c r="F347" s="12">
        <v>3</v>
      </c>
      <c r="G347" s="12">
        <v>3</v>
      </c>
      <c r="H347" s="12">
        <v>1</v>
      </c>
      <c r="I347" s="12">
        <v>2</v>
      </c>
      <c r="J347" s="12">
        <f t="shared" si="20"/>
        <v>1.8</v>
      </c>
      <c r="K347" s="12">
        <f t="shared" si="21"/>
        <v>2</v>
      </c>
      <c r="L347" s="13" t="str">
        <f t="shared" si="22"/>
        <v>A</v>
      </c>
      <c r="M347" s="12" t="str">
        <f t="shared" si="23"/>
        <v>Aprobado</v>
      </c>
      <c r="N347" s="15">
        <v>0.9</v>
      </c>
    </row>
    <row r="348" spans="1:14" x14ac:dyDescent="0.25">
      <c r="A348" s="10" t="s">
        <v>75</v>
      </c>
      <c r="B348" s="10" t="s">
        <v>84</v>
      </c>
      <c r="C348" s="10" t="s">
        <v>76</v>
      </c>
      <c r="D348" s="10" t="s">
        <v>83</v>
      </c>
      <c r="E348" s="10">
        <v>2</v>
      </c>
      <c r="F348" s="10">
        <v>1</v>
      </c>
      <c r="G348" s="10">
        <v>1</v>
      </c>
      <c r="H348" s="10">
        <v>2</v>
      </c>
      <c r="I348" s="10">
        <v>1</v>
      </c>
      <c r="J348" s="10">
        <f t="shared" si="20"/>
        <v>1.4</v>
      </c>
      <c r="K348" s="10">
        <f t="shared" si="21"/>
        <v>1</v>
      </c>
      <c r="L348" s="11" t="str">
        <f t="shared" si="22"/>
        <v>B</v>
      </c>
      <c r="M348" s="10" t="str">
        <f t="shared" si="23"/>
        <v>Desaprobado</v>
      </c>
      <c r="N348" s="14">
        <v>0.95</v>
      </c>
    </row>
    <row r="349" spans="1:14" x14ac:dyDescent="0.25">
      <c r="A349" s="12" t="s">
        <v>77</v>
      </c>
      <c r="B349" s="12" t="s">
        <v>84</v>
      </c>
      <c r="C349" s="12" t="s">
        <v>78</v>
      </c>
      <c r="D349" s="12" t="s">
        <v>83</v>
      </c>
      <c r="E349" s="12">
        <v>2</v>
      </c>
      <c r="F349" s="12">
        <v>1</v>
      </c>
      <c r="G349" s="12">
        <v>2</v>
      </c>
      <c r="H349" s="12">
        <v>0</v>
      </c>
      <c r="I349" s="12">
        <v>3</v>
      </c>
      <c r="J349" s="12">
        <f t="shared" si="20"/>
        <v>1.6</v>
      </c>
      <c r="K349" s="12">
        <f t="shared" si="21"/>
        <v>2</v>
      </c>
      <c r="L349" s="13" t="str">
        <f t="shared" si="22"/>
        <v>A</v>
      </c>
      <c r="M349" s="12" t="str">
        <f t="shared" si="23"/>
        <v>Aprobado</v>
      </c>
      <c r="N349" s="15">
        <v>0.8</v>
      </c>
    </row>
    <row r="350" spans="1:14" x14ac:dyDescent="0.25">
      <c r="A350" s="10" t="s">
        <v>14</v>
      </c>
      <c r="B350" s="10" t="s">
        <v>85</v>
      </c>
      <c r="C350" s="10" t="s">
        <v>16</v>
      </c>
      <c r="D350" s="10" t="s">
        <v>17</v>
      </c>
      <c r="E350" s="10">
        <v>0</v>
      </c>
      <c r="F350" s="10">
        <v>0</v>
      </c>
      <c r="G350" s="10">
        <v>3</v>
      </c>
      <c r="H350" s="10">
        <v>1</v>
      </c>
      <c r="I350" s="10">
        <v>0</v>
      </c>
      <c r="J350" s="10">
        <f t="shared" si="20"/>
        <v>0.8</v>
      </c>
      <c r="K350" s="10">
        <f t="shared" si="21"/>
        <v>1</v>
      </c>
      <c r="L350" s="11" t="str">
        <f t="shared" si="22"/>
        <v>B</v>
      </c>
      <c r="M350" s="10" t="str">
        <f t="shared" si="23"/>
        <v>Desaprobado</v>
      </c>
      <c r="N350" s="14">
        <v>0.95</v>
      </c>
    </row>
    <row r="351" spans="1:14" x14ac:dyDescent="0.25">
      <c r="A351" s="12" t="s">
        <v>19</v>
      </c>
      <c r="B351" s="12" t="s">
        <v>85</v>
      </c>
      <c r="C351" s="12" t="s">
        <v>20</v>
      </c>
      <c r="D351" s="12" t="s">
        <v>17</v>
      </c>
      <c r="E351" s="12">
        <v>1</v>
      </c>
      <c r="F351" s="12">
        <v>1</v>
      </c>
      <c r="G351" s="12">
        <v>0</v>
      </c>
      <c r="H351" s="12">
        <v>0</v>
      </c>
      <c r="I351" s="12">
        <v>0</v>
      </c>
      <c r="J351" s="12">
        <f t="shared" si="20"/>
        <v>0.4</v>
      </c>
      <c r="K351" s="12">
        <f t="shared" si="21"/>
        <v>0</v>
      </c>
      <c r="L351" s="13" t="str">
        <f t="shared" si="22"/>
        <v>C</v>
      </c>
      <c r="M351" s="12" t="str">
        <f t="shared" si="23"/>
        <v>Desaprobado</v>
      </c>
      <c r="N351" s="15">
        <v>0.6</v>
      </c>
    </row>
    <row r="352" spans="1:14" x14ac:dyDescent="0.25">
      <c r="A352" s="10" t="s">
        <v>22</v>
      </c>
      <c r="B352" s="10" t="s">
        <v>85</v>
      </c>
      <c r="C352" s="10" t="s">
        <v>23</v>
      </c>
      <c r="D352" s="10" t="s">
        <v>17</v>
      </c>
      <c r="E352" s="10">
        <v>2</v>
      </c>
      <c r="F352" s="10">
        <v>1</v>
      </c>
      <c r="G352" s="10">
        <v>1</v>
      </c>
      <c r="H352" s="10">
        <v>3</v>
      </c>
      <c r="I352" s="10">
        <v>1</v>
      </c>
      <c r="J352" s="10">
        <f t="shared" si="20"/>
        <v>1.6</v>
      </c>
      <c r="K352" s="10">
        <f t="shared" si="21"/>
        <v>2</v>
      </c>
      <c r="L352" s="11" t="str">
        <f t="shared" si="22"/>
        <v>A</v>
      </c>
      <c r="M352" s="10" t="str">
        <f t="shared" si="23"/>
        <v>Aprobado</v>
      </c>
      <c r="N352" s="14">
        <v>0.1</v>
      </c>
    </row>
    <row r="353" spans="1:14" x14ac:dyDescent="0.25">
      <c r="A353" s="12" t="s">
        <v>25</v>
      </c>
      <c r="B353" s="12" t="s">
        <v>85</v>
      </c>
      <c r="C353" s="12" t="s">
        <v>26</v>
      </c>
      <c r="D353" s="12" t="s">
        <v>17</v>
      </c>
      <c r="E353" s="12">
        <v>2</v>
      </c>
      <c r="F353" s="12">
        <v>1</v>
      </c>
      <c r="G353" s="12">
        <v>3</v>
      </c>
      <c r="H353" s="12">
        <v>2</v>
      </c>
      <c r="I353" s="12">
        <v>0</v>
      </c>
      <c r="J353" s="12">
        <f t="shared" si="20"/>
        <v>1.6</v>
      </c>
      <c r="K353" s="12">
        <f t="shared" si="21"/>
        <v>2</v>
      </c>
      <c r="L353" s="13" t="str">
        <f t="shared" si="22"/>
        <v>A</v>
      </c>
      <c r="M353" s="12" t="str">
        <f t="shared" si="23"/>
        <v>Aprobado</v>
      </c>
      <c r="N353" s="15">
        <v>0.9</v>
      </c>
    </row>
    <row r="354" spans="1:14" x14ac:dyDescent="0.25">
      <c r="A354" s="10" t="s">
        <v>28</v>
      </c>
      <c r="B354" s="10" t="s">
        <v>85</v>
      </c>
      <c r="C354" s="10" t="s">
        <v>29</v>
      </c>
      <c r="D354" s="10" t="s">
        <v>17</v>
      </c>
      <c r="E354" s="10">
        <v>3</v>
      </c>
      <c r="F354" s="10">
        <v>2</v>
      </c>
      <c r="G354" s="10">
        <v>2</v>
      </c>
      <c r="H354" s="10">
        <v>2</v>
      </c>
      <c r="I354" s="10">
        <v>0</v>
      </c>
      <c r="J354" s="10">
        <f t="shared" si="20"/>
        <v>1.8</v>
      </c>
      <c r="K354" s="10">
        <f t="shared" si="21"/>
        <v>2</v>
      </c>
      <c r="L354" s="11" t="str">
        <f t="shared" si="22"/>
        <v>A</v>
      </c>
      <c r="M354" s="10" t="str">
        <f t="shared" si="23"/>
        <v>Aprobado</v>
      </c>
      <c r="N354" s="14">
        <v>0.95</v>
      </c>
    </row>
    <row r="355" spans="1:14" x14ac:dyDescent="0.25">
      <c r="A355" s="12" t="s">
        <v>31</v>
      </c>
      <c r="B355" s="12" t="s">
        <v>85</v>
      </c>
      <c r="C355" s="12" t="s">
        <v>32</v>
      </c>
      <c r="D355" s="12" t="s">
        <v>17</v>
      </c>
      <c r="E355" s="12">
        <v>3</v>
      </c>
      <c r="F355" s="12">
        <v>0</v>
      </c>
      <c r="G355" s="12">
        <v>3</v>
      </c>
      <c r="H355" s="12">
        <v>1</v>
      </c>
      <c r="I355" s="12">
        <v>2</v>
      </c>
      <c r="J355" s="12">
        <f t="shared" si="20"/>
        <v>1.8</v>
      </c>
      <c r="K355" s="12">
        <f t="shared" si="21"/>
        <v>2</v>
      </c>
      <c r="L355" s="13" t="str">
        <f t="shared" si="22"/>
        <v>A</v>
      </c>
      <c r="M355" s="12" t="str">
        <f t="shared" si="23"/>
        <v>Aprobado</v>
      </c>
      <c r="N355" s="15">
        <v>0.7</v>
      </c>
    </row>
    <row r="356" spans="1:14" x14ac:dyDescent="0.25">
      <c r="A356" s="10" t="s">
        <v>33</v>
      </c>
      <c r="B356" s="10" t="s">
        <v>85</v>
      </c>
      <c r="C356" s="10" t="s">
        <v>34</v>
      </c>
      <c r="D356" s="10" t="s">
        <v>17</v>
      </c>
      <c r="E356" s="10">
        <v>1</v>
      </c>
      <c r="F356" s="10">
        <v>0</v>
      </c>
      <c r="G356" s="10">
        <v>2</v>
      </c>
      <c r="H356" s="10">
        <v>2</v>
      </c>
      <c r="I356" s="10">
        <v>3</v>
      </c>
      <c r="J356" s="10">
        <f t="shared" si="20"/>
        <v>1.6</v>
      </c>
      <c r="K356" s="10">
        <f t="shared" si="21"/>
        <v>2</v>
      </c>
      <c r="L356" s="11" t="str">
        <f t="shared" si="22"/>
        <v>A</v>
      </c>
      <c r="M356" s="10" t="str">
        <f t="shared" si="23"/>
        <v>Aprobado</v>
      </c>
      <c r="N356" s="14">
        <v>0.2</v>
      </c>
    </row>
    <row r="357" spans="1:14" x14ac:dyDescent="0.25">
      <c r="A357" s="12" t="s">
        <v>35</v>
      </c>
      <c r="B357" s="12" t="s">
        <v>85</v>
      </c>
      <c r="C357" s="12" t="s">
        <v>36</v>
      </c>
      <c r="D357" s="12" t="s">
        <v>17</v>
      </c>
      <c r="E357" s="12">
        <v>3</v>
      </c>
      <c r="F357" s="12">
        <v>0</v>
      </c>
      <c r="G357" s="12">
        <v>1</v>
      </c>
      <c r="H357" s="12">
        <v>2</v>
      </c>
      <c r="I357" s="12">
        <v>1</v>
      </c>
      <c r="J357" s="12">
        <f t="shared" si="20"/>
        <v>1.4</v>
      </c>
      <c r="K357" s="12">
        <f t="shared" si="21"/>
        <v>1</v>
      </c>
      <c r="L357" s="13" t="str">
        <f t="shared" si="22"/>
        <v>B</v>
      </c>
      <c r="M357" s="12" t="str">
        <f t="shared" si="23"/>
        <v>Desaprobado</v>
      </c>
      <c r="N357" s="15">
        <v>0.95</v>
      </c>
    </row>
    <row r="358" spans="1:14" x14ac:dyDescent="0.25">
      <c r="A358" s="10" t="s">
        <v>37</v>
      </c>
      <c r="B358" s="10" t="s">
        <v>85</v>
      </c>
      <c r="C358" s="10" t="s">
        <v>38</v>
      </c>
      <c r="D358" s="10" t="s">
        <v>17</v>
      </c>
      <c r="E358" s="10">
        <v>3</v>
      </c>
      <c r="F358" s="10">
        <v>3</v>
      </c>
      <c r="G358" s="10">
        <v>1</v>
      </c>
      <c r="H358" s="10">
        <v>0</v>
      </c>
      <c r="I358" s="10">
        <v>3</v>
      </c>
      <c r="J358" s="10">
        <f t="shared" si="20"/>
        <v>2</v>
      </c>
      <c r="K358" s="10">
        <f t="shared" si="21"/>
        <v>2</v>
      </c>
      <c r="L358" s="11" t="str">
        <f t="shared" si="22"/>
        <v>A</v>
      </c>
      <c r="M358" s="10" t="str">
        <f t="shared" si="23"/>
        <v>Aprobado</v>
      </c>
      <c r="N358" s="14">
        <v>0.8</v>
      </c>
    </row>
    <row r="359" spans="1:14" x14ac:dyDescent="0.25">
      <c r="A359" s="12" t="s">
        <v>39</v>
      </c>
      <c r="B359" s="12" t="s">
        <v>85</v>
      </c>
      <c r="C359" s="12" t="s">
        <v>40</v>
      </c>
      <c r="D359" s="12" t="s">
        <v>17</v>
      </c>
      <c r="E359" s="12">
        <v>1</v>
      </c>
      <c r="F359" s="12">
        <v>1</v>
      </c>
      <c r="G359" s="12">
        <v>2</v>
      </c>
      <c r="H359" s="12">
        <v>1</v>
      </c>
      <c r="I359" s="12">
        <v>0</v>
      </c>
      <c r="J359" s="12">
        <f t="shared" si="20"/>
        <v>1</v>
      </c>
      <c r="K359" s="12">
        <f t="shared" si="21"/>
        <v>1</v>
      </c>
      <c r="L359" s="13" t="str">
        <f t="shared" si="22"/>
        <v>B</v>
      </c>
      <c r="M359" s="12" t="str">
        <f t="shared" si="23"/>
        <v>Desaprobado</v>
      </c>
      <c r="N359" s="15">
        <v>0.25</v>
      </c>
    </row>
    <row r="360" spans="1:14" x14ac:dyDescent="0.25">
      <c r="A360" s="10" t="s">
        <v>41</v>
      </c>
      <c r="B360" s="10" t="s">
        <v>85</v>
      </c>
      <c r="C360" s="10" t="s">
        <v>42</v>
      </c>
      <c r="D360" s="10" t="s">
        <v>17</v>
      </c>
      <c r="E360" s="10">
        <v>0</v>
      </c>
      <c r="F360" s="10">
        <v>1</v>
      </c>
      <c r="G360" s="10">
        <v>0</v>
      </c>
      <c r="H360" s="10">
        <v>1</v>
      </c>
      <c r="I360" s="10">
        <v>1</v>
      </c>
      <c r="J360" s="10">
        <f t="shared" si="20"/>
        <v>0.6</v>
      </c>
      <c r="K360" s="10">
        <f t="shared" si="21"/>
        <v>1</v>
      </c>
      <c r="L360" s="11" t="str">
        <f t="shared" si="22"/>
        <v>B</v>
      </c>
      <c r="M360" s="10" t="str">
        <f t="shared" si="23"/>
        <v>Desaprobado</v>
      </c>
      <c r="N360" s="14">
        <v>0.9</v>
      </c>
    </row>
    <row r="361" spans="1:14" x14ac:dyDescent="0.25">
      <c r="A361" s="12" t="s">
        <v>43</v>
      </c>
      <c r="B361" s="12" t="s">
        <v>85</v>
      </c>
      <c r="C361" s="12" t="s">
        <v>44</v>
      </c>
      <c r="D361" s="12" t="s">
        <v>17</v>
      </c>
      <c r="E361" s="12">
        <v>0</v>
      </c>
      <c r="F361" s="12">
        <v>0</v>
      </c>
      <c r="G361" s="12">
        <v>0</v>
      </c>
      <c r="H361" s="12">
        <v>3</v>
      </c>
      <c r="I361" s="12">
        <v>3</v>
      </c>
      <c r="J361" s="12">
        <f t="shared" si="20"/>
        <v>1.2</v>
      </c>
      <c r="K361" s="12">
        <f t="shared" si="21"/>
        <v>1</v>
      </c>
      <c r="L361" s="13" t="str">
        <f t="shared" si="22"/>
        <v>B</v>
      </c>
      <c r="M361" s="12" t="str">
        <f t="shared" si="23"/>
        <v>Desaprobado</v>
      </c>
      <c r="N361" s="15">
        <v>0.4</v>
      </c>
    </row>
    <row r="362" spans="1:14" x14ac:dyDescent="0.25">
      <c r="A362" s="10" t="s">
        <v>45</v>
      </c>
      <c r="B362" s="10" t="s">
        <v>85</v>
      </c>
      <c r="C362" s="10" t="s">
        <v>46</v>
      </c>
      <c r="D362" s="10" t="s">
        <v>17</v>
      </c>
      <c r="E362" s="10">
        <v>0</v>
      </c>
      <c r="F362" s="10">
        <v>2</v>
      </c>
      <c r="G362" s="10">
        <v>0</v>
      </c>
      <c r="H362" s="10">
        <v>0</v>
      </c>
      <c r="I362" s="10">
        <v>2</v>
      </c>
      <c r="J362" s="10">
        <f t="shared" si="20"/>
        <v>0.8</v>
      </c>
      <c r="K362" s="10">
        <f t="shared" si="21"/>
        <v>1</v>
      </c>
      <c r="L362" s="11" t="str">
        <f t="shared" si="22"/>
        <v>B</v>
      </c>
      <c r="M362" s="10" t="str">
        <f t="shared" si="23"/>
        <v>Desaprobado</v>
      </c>
      <c r="N362" s="14">
        <v>0.5</v>
      </c>
    </row>
    <row r="363" spans="1:14" x14ac:dyDescent="0.25">
      <c r="A363" s="12" t="s">
        <v>47</v>
      </c>
      <c r="B363" s="12" t="s">
        <v>85</v>
      </c>
      <c r="C363" s="12" t="s">
        <v>48</v>
      </c>
      <c r="D363" s="12" t="s">
        <v>17</v>
      </c>
      <c r="E363" s="12">
        <v>0</v>
      </c>
      <c r="F363" s="12">
        <v>1</v>
      </c>
      <c r="G363" s="12">
        <v>3</v>
      </c>
      <c r="H363" s="12">
        <v>3</v>
      </c>
      <c r="I363" s="12">
        <v>0</v>
      </c>
      <c r="J363" s="12">
        <f t="shared" si="20"/>
        <v>1.4</v>
      </c>
      <c r="K363" s="12">
        <f t="shared" si="21"/>
        <v>1</v>
      </c>
      <c r="L363" s="13" t="str">
        <f t="shared" si="22"/>
        <v>B</v>
      </c>
      <c r="M363" s="12" t="str">
        <f t="shared" si="23"/>
        <v>Desaprobado</v>
      </c>
      <c r="N363" s="15">
        <v>0.8</v>
      </c>
    </row>
    <row r="364" spans="1:14" x14ac:dyDescent="0.25">
      <c r="A364" s="10" t="s">
        <v>49</v>
      </c>
      <c r="B364" s="10" t="s">
        <v>85</v>
      </c>
      <c r="C364" s="10" t="s">
        <v>50</v>
      </c>
      <c r="D364" s="10" t="s">
        <v>17</v>
      </c>
      <c r="E364" s="10">
        <v>2</v>
      </c>
      <c r="F364" s="10">
        <v>0</v>
      </c>
      <c r="G364" s="10">
        <v>0</v>
      </c>
      <c r="H364" s="10">
        <v>1</v>
      </c>
      <c r="I364" s="10">
        <v>3</v>
      </c>
      <c r="J364" s="10">
        <f t="shared" si="20"/>
        <v>1.2</v>
      </c>
      <c r="K364" s="10">
        <f t="shared" si="21"/>
        <v>1</v>
      </c>
      <c r="L364" s="11" t="str">
        <f t="shared" si="22"/>
        <v>B</v>
      </c>
      <c r="M364" s="10" t="str">
        <f t="shared" si="23"/>
        <v>Desaprobado</v>
      </c>
      <c r="N364" s="14">
        <v>0.7</v>
      </c>
    </row>
    <row r="365" spans="1:14" x14ac:dyDescent="0.25">
      <c r="A365" s="12" t="s">
        <v>51</v>
      </c>
      <c r="B365" s="12" t="s">
        <v>85</v>
      </c>
      <c r="C365" s="12" t="s">
        <v>52</v>
      </c>
      <c r="D365" s="12" t="s">
        <v>17</v>
      </c>
      <c r="E365" s="12">
        <v>1</v>
      </c>
      <c r="F365" s="12">
        <v>0</v>
      </c>
      <c r="G365" s="12">
        <v>1</v>
      </c>
      <c r="H365" s="12">
        <v>0</v>
      </c>
      <c r="I365" s="12">
        <v>1</v>
      </c>
      <c r="J365" s="12">
        <f t="shared" si="20"/>
        <v>0.6</v>
      </c>
      <c r="K365" s="12">
        <f t="shared" si="21"/>
        <v>1</v>
      </c>
      <c r="L365" s="13" t="str">
        <f t="shared" si="22"/>
        <v>B</v>
      </c>
      <c r="M365" s="12" t="str">
        <f t="shared" si="23"/>
        <v>Desaprobado</v>
      </c>
      <c r="N365" s="15">
        <v>0.25</v>
      </c>
    </row>
    <row r="366" spans="1:14" x14ac:dyDescent="0.25">
      <c r="A366" s="10" t="s">
        <v>53</v>
      </c>
      <c r="B366" s="10" t="s">
        <v>85</v>
      </c>
      <c r="C366" s="10" t="s">
        <v>54</v>
      </c>
      <c r="D366" s="10" t="s">
        <v>17</v>
      </c>
      <c r="E366" s="10">
        <v>3</v>
      </c>
      <c r="F366" s="10">
        <v>0</v>
      </c>
      <c r="G366" s="10">
        <v>3</v>
      </c>
      <c r="H366" s="10">
        <v>1</v>
      </c>
      <c r="I366" s="10">
        <v>3</v>
      </c>
      <c r="J366" s="10">
        <f t="shared" si="20"/>
        <v>2</v>
      </c>
      <c r="K366" s="10">
        <f t="shared" si="21"/>
        <v>2</v>
      </c>
      <c r="L366" s="11" t="str">
        <f t="shared" si="22"/>
        <v>A</v>
      </c>
      <c r="M366" s="10" t="str">
        <f t="shared" si="23"/>
        <v>Aprobado</v>
      </c>
      <c r="N366" s="14">
        <v>0.6</v>
      </c>
    </row>
    <row r="367" spans="1:14" x14ac:dyDescent="0.25">
      <c r="A367" s="12" t="s">
        <v>55</v>
      </c>
      <c r="B367" s="12" t="s">
        <v>85</v>
      </c>
      <c r="C367" s="12" t="s">
        <v>56</v>
      </c>
      <c r="D367" s="12" t="s">
        <v>17</v>
      </c>
      <c r="E367" s="12">
        <v>3</v>
      </c>
      <c r="F367" s="12">
        <v>1</v>
      </c>
      <c r="G367" s="12">
        <v>0</v>
      </c>
      <c r="H367" s="12">
        <v>0</v>
      </c>
      <c r="I367" s="12">
        <v>1</v>
      </c>
      <c r="J367" s="12">
        <f t="shared" si="20"/>
        <v>1</v>
      </c>
      <c r="K367" s="12">
        <f t="shared" si="21"/>
        <v>1</v>
      </c>
      <c r="L367" s="13" t="str">
        <f t="shared" si="22"/>
        <v>B</v>
      </c>
      <c r="M367" s="12" t="str">
        <f t="shared" si="23"/>
        <v>Desaprobado</v>
      </c>
      <c r="N367" s="15">
        <v>0.65</v>
      </c>
    </row>
    <row r="368" spans="1:14" x14ac:dyDescent="0.25">
      <c r="A368" s="10" t="s">
        <v>57</v>
      </c>
      <c r="B368" s="10" t="s">
        <v>85</v>
      </c>
      <c r="C368" s="10" t="s">
        <v>58</v>
      </c>
      <c r="D368" s="10" t="s">
        <v>17</v>
      </c>
      <c r="E368" s="10">
        <v>3</v>
      </c>
      <c r="F368" s="10">
        <v>1</v>
      </c>
      <c r="G368" s="10">
        <v>0</v>
      </c>
      <c r="H368" s="10">
        <v>3</v>
      </c>
      <c r="I368" s="10">
        <v>3</v>
      </c>
      <c r="J368" s="10">
        <f t="shared" si="20"/>
        <v>2</v>
      </c>
      <c r="K368" s="10">
        <f t="shared" si="21"/>
        <v>2</v>
      </c>
      <c r="L368" s="11" t="str">
        <f t="shared" si="22"/>
        <v>A</v>
      </c>
      <c r="M368" s="10" t="str">
        <f t="shared" si="23"/>
        <v>Aprobado</v>
      </c>
      <c r="N368" s="14">
        <v>0.7</v>
      </c>
    </row>
    <row r="369" spans="1:14" x14ac:dyDescent="0.25">
      <c r="A369" s="12" t="s">
        <v>59</v>
      </c>
      <c r="B369" s="12" t="s">
        <v>85</v>
      </c>
      <c r="C369" s="12" t="s">
        <v>60</v>
      </c>
      <c r="D369" s="12" t="s">
        <v>17</v>
      </c>
      <c r="E369" s="12">
        <v>2</v>
      </c>
      <c r="F369" s="12">
        <v>3</v>
      </c>
      <c r="G369" s="12">
        <v>3</v>
      </c>
      <c r="H369" s="12">
        <v>1</v>
      </c>
      <c r="I369" s="12">
        <v>3</v>
      </c>
      <c r="J369" s="12">
        <f t="shared" si="20"/>
        <v>2.4</v>
      </c>
      <c r="K369" s="12">
        <f t="shared" si="21"/>
        <v>2</v>
      </c>
      <c r="L369" s="13" t="str">
        <f t="shared" si="22"/>
        <v>A</v>
      </c>
      <c r="M369" s="12" t="str">
        <f t="shared" si="23"/>
        <v>Aprobado</v>
      </c>
      <c r="N369" s="15">
        <v>0.9</v>
      </c>
    </row>
    <row r="370" spans="1:14" x14ac:dyDescent="0.25">
      <c r="A370" s="10" t="s">
        <v>61</v>
      </c>
      <c r="B370" s="10" t="s">
        <v>85</v>
      </c>
      <c r="C370" s="10" t="s">
        <v>62</v>
      </c>
      <c r="D370" s="10" t="s">
        <v>17</v>
      </c>
      <c r="E370" s="10">
        <v>1</v>
      </c>
      <c r="F370" s="10">
        <v>3</v>
      </c>
      <c r="G370" s="10">
        <v>2</v>
      </c>
      <c r="H370" s="10">
        <v>3</v>
      </c>
      <c r="I370" s="10">
        <v>2</v>
      </c>
      <c r="J370" s="10">
        <f t="shared" si="20"/>
        <v>2.2000000000000002</v>
      </c>
      <c r="K370" s="10">
        <f t="shared" si="21"/>
        <v>2</v>
      </c>
      <c r="L370" s="11" t="str">
        <f t="shared" si="22"/>
        <v>A</v>
      </c>
      <c r="M370" s="10" t="str">
        <f t="shared" si="23"/>
        <v>Aprobado</v>
      </c>
      <c r="N370" s="14">
        <v>0.7</v>
      </c>
    </row>
    <row r="371" spans="1:14" x14ac:dyDescent="0.25">
      <c r="A371" s="12" t="s">
        <v>63</v>
      </c>
      <c r="B371" s="12" t="s">
        <v>85</v>
      </c>
      <c r="C371" s="12" t="s">
        <v>64</v>
      </c>
      <c r="D371" s="12" t="s">
        <v>17</v>
      </c>
      <c r="E371" s="12">
        <v>1</v>
      </c>
      <c r="F371" s="12">
        <v>2</v>
      </c>
      <c r="G371" s="12">
        <v>2</v>
      </c>
      <c r="H371" s="12">
        <v>0</v>
      </c>
      <c r="I371" s="12">
        <v>1</v>
      </c>
      <c r="J371" s="12">
        <f t="shared" si="20"/>
        <v>1.2</v>
      </c>
      <c r="K371" s="12">
        <f t="shared" si="21"/>
        <v>1</v>
      </c>
      <c r="L371" s="13" t="str">
        <f t="shared" si="22"/>
        <v>B</v>
      </c>
      <c r="M371" s="12" t="str">
        <f t="shared" si="23"/>
        <v>Desaprobado</v>
      </c>
      <c r="N371" s="15">
        <v>0.95</v>
      </c>
    </row>
    <row r="372" spans="1:14" x14ac:dyDescent="0.25">
      <c r="A372" s="10" t="s">
        <v>65</v>
      </c>
      <c r="B372" s="10" t="s">
        <v>85</v>
      </c>
      <c r="C372" s="10" t="s">
        <v>66</v>
      </c>
      <c r="D372" s="10" t="s">
        <v>17</v>
      </c>
      <c r="E372" s="10">
        <v>0</v>
      </c>
      <c r="F372" s="10">
        <v>0</v>
      </c>
      <c r="G372" s="10">
        <v>3</v>
      </c>
      <c r="H372" s="10">
        <v>1</v>
      </c>
      <c r="I372" s="10">
        <v>1</v>
      </c>
      <c r="J372" s="10">
        <f t="shared" si="20"/>
        <v>1</v>
      </c>
      <c r="K372" s="10">
        <f t="shared" si="21"/>
        <v>1</v>
      </c>
      <c r="L372" s="11" t="str">
        <f t="shared" si="22"/>
        <v>B</v>
      </c>
      <c r="M372" s="10" t="str">
        <f t="shared" si="23"/>
        <v>Desaprobado</v>
      </c>
      <c r="N372" s="14">
        <v>0.6</v>
      </c>
    </row>
    <row r="373" spans="1:14" x14ac:dyDescent="0.25">
      <c r="A373" s="12" t="s">
        <v>67</v>
      </c>
      <c r="B373" s="12" t="s">
        <v>85</v>
      </c>
      <c r="C373" s="12" t="s">
        <v>68</v>
      </c>
      <c r="D373" s="12" t="s">
        <v>17</v>
      </c>
      <c r="E373" s="12">
        <v>3</v>
      </c>
      <c r="F373" s="12">
        <v>2</v>
      </c>
      <c r="G373" s="12">
        <v>1</v>
      </c>
      <c r="H373" s="12">
        <v>0</v>
      </c>
      <c r="I373" s="12">
        <v>3</v>
      </c>
      <c r="J373" s="12">
        <f t="shared" si="20"/>
        <v>1.8</v>
      </c>
      <c r="K373" s="12">
        <f t="shared" si="21"/>
        <v>2</v>
      </c>
      <c r="L373" s="13" t="str">
        <f t="shared" si="22"/>
        <v>A</v>
      </c>
      <c r="M373" s="12" t="str">
        <f t="shared" si="23"/>
        <v>Aprobado</v>
      </c>
      <c r="N373" s="15">
        <v>0.1</v>
      </c>
    </row>
    <row r="374" spans="1:14" x14ac:dyDescent="0.25">
      <c r="A374" s="10" t="s">
        <v>69</v>
      </c>
      <c r="B374" s="10" t="s">
        <v>85</v>
      </c>
      <c r="C374" s="10" t="s">
        <v>70</v>
      </c>
      <c r="D374" s="10" t="s">
        <v>17</v>
      </c>
      <c r="E374" s="10">
        <v>0</v>
      </c>
      <c r="F374" s="10">
        <v>2</v>
      </c>
      <c r="G374" s="10">
        <v>0</v>
      </c>
      <c r="H374" s="10">
        <v>1</v>
      </c>
      <c r="I374" s="10">
        <v>1</v>
      </c>
      <c r="J374" s="10">
        <f t="shared" si="20"/>
        <v>0.8</v>
      </c>
      <c r="K374" s="10">
        <f t="shared" si="21"/>
        <v>1</v>
      </c>
      <c r="L374" s="11" t="str">
        <f t="shared" si="22"/>
        <v>B</v>
      </c>
      <c r="M374" s="10" t="str">
        <f t="shared" si="23"/>
        <v>Desaprobado</v>
      </c>
      <c r="N374" s="14">
        <v>0.9</v>
      </c>
    </row>
    <row r="375" spans="1:14" x14ac:dyDescent="0.25">
      <c r="A375" s="12" t="s">
        <v>71</v>
      </c>
      <c r="B375" s="12" t="s">
        <v>85</v>
      </c>
      <c r="C375" s="12" t="s">
        <v>72</v>
      </c>
      <c r="D375" s="12" t="s">
        <v>17</v>
      </c>
      <c r="E375" s="12">
        <v>0</v>
      </c>
      <c r="F375" s="12">
        <v>1</v>
      </c>
      <c r="G375" s="12">
        <v>2</v>
      </c>
      <c r="H375" s="12">
        <v>1</v>
      </c>
      <c r="I375" s="12">
        <v>1</v>
      </c>
      <c r="J375" s="12">
        <f t="shared" si="20"/>
        <v>1</v>
      </c>
      <c r="K375" s="12">
        <f t="shared" si="21"/>
        <v>1</v>
      </c>
      <c r="L375" s="13" t="str">
        <f t="shared" si="22"/>
        <v>B</v>
      </c>
      <c r="M375" s="12" t="str">
        <f t="shared" si="23"/>
        <v>Desaprobado</v>
      </c>
      <c r="N375" s="15">
        <v>0.95</v>
      </c>
    </row>
    <row r="376" spans="1:14" x14ac:dyDescent="0.25">
      <c r="A376" s="10" t="s">
        <v>73</v>
      </c>
      <c r="B376" s="10" t="s">
        <v>85</v>
      </c>
      <c r="C376" s="10" t="s">
        <v>74</v>
      </c>
      <c r="D376" s="10" t="s">
        <v>17</v>
      </c>
      <c r="E376" s="10">
        <v>2</v>
      </c>
      <c r="F376" s="10">
        <v>1</v>
      </c>
      <c r="G376" s="10">
        <v>3</v>
      </c>
      <c r="H376" s="10">
        <v>2</v>
      </c>
      <c r="I376" s="10">
        <v>3</v>
      </c>
      <c r="J376" s="10">
        <f t="shared" si="20"/>
        <v>2.2000000000000002</v>
      </c>
      <c r="K376" s="10">
        <f t="shared" si="21"/>
        <v>2</v>
      </c>
      <c r="L376" s="11" t="str">
        <f t="shared" si="22"/>
        <v>A</v>
      </c>
      <c r="M376" s="10" t="str">
        <f t="shared" si="23"/>
        <v>Aprobado</v>
      </c>
      <c r="N376" s="14">
        <v>0.45</v>
      </c>
    </row>
    <row r="377" spans="1:14" x14ac:dyDescent="0.25">
      <c r="A377" s="12" t="s">
        <v>75</v>
      </c>
      <c r="B377" s="12" t="s">
        <v>85</v>
      </c>
      <c r="C377" s="12" t="s">
        <v>76</v>
      </c>
      <c r="D377" s="12" t="s">
        <v>17</v>
      </c>
      <c r="E377" s="12">
        <v>1</v>
      </c>
      <c r="F377" s="12">
        <v>1</v>
      </c>
      <c r="G377" s="12">
        <v>3</v>
      </c>
      <c r="H377" s="12">
        <v>2</v>
      </c>
      <c r="I377" s="12">
        <v>0</v>
      </c>
      <c r="J377" s="12">
        <f t="shared" si="20"/>
        <v>1.4</v>
      </c>
      <c r="K377" s="12">
        <f t="shared" si="21"/>
        <v>1</v>
      </c>
      <c r="L377" s="13" t="str">
        <f t="shared" si="22"/>
        <v>B</v>
      </c>
      <c r="M377" s="12" t="str">
        <f t="shared" si="23"/>
        <v>Desaprobado</v>
      </c>
      <c r="N377" s="15">
        <v>1</v>
      </c>
    </row>
    <row r="378" spans="1:14" x14ac:dyDescent="0.25">
      <c r="A378" s="10" t="s">
        <v>77</v>
      </c>
      <c r="B378" s="10" t="s">
        <v>85</v>
      </c>
      <c r="C378" s="10" t="s">
        <v>78</v>
      </c>
      <c r="D378" s="10" t="s">
        <v>17</v>
      </c>
      <c r="E378" s="10">
        <v>3</v>
      </c>
      <c r="F378" s="10">
        <v>2</v>
      </c>
      <c r="G378" s="10">
        <v>0</v>
      </c>
      <c r="H378" s="10">
        <v>3</v>
      </c>
      <c r="I378" s="10">
        <v>0</v>
      </c>
      <c r="J378" s="10">
        <f t="shared" si="20"/>
        <v>1.6</v>
      </c>
      <c r="K378" s="10">
        <f t="shared" si="21"/>
        <v>2</v>
      </c>
      <c r="L378" s="11" t="str">
        <f t="shared" si="22"/>
        <v>A</v>
      </c>
      <c r="M378" s="10" t="str">
        <f t="shared" si="23"/>
        <v>Aprobado</v>
      </c>
      <c r="N378" s="14">
        <v>0.95</v>
      </c>
    </row>
    <row r="379" spans="1:14" x14ac:dyDescent="0.25">
      <c r="A379" s="12" t="s">
        <v>14</v>
      </c>
      <c r="B379" s="12" t="s">
        <v>85</v>
      </c>
      <c r="C379" s="12" t="s">
        <v>16</v>
      </c>
      <c r="D379" s="12" t="s">
        <v>79</v>
      </c>
      <c r="E379" s="12">
        <v>1</v>
      </c>
      <c r="F379" s="12">
        <v>2</v>
      </c>
      <c r="G379" s="12">
        <v>1</v>
      </c>
      <c r="H379" s="12">
        <v>2</v>
      </c>
      <c r="I379" s="12">
        <v>0</v>
      </c>
      <c r="J379" s="12">
        <f t="shared" si="20"/>
        <v>1.2</v>
      </c>
      <c r="K379" s="12">
        <f t="shared" si="21"/>
        <v>1</v>
      </c>
      <c r="L379" s="13" t="str">
        <f t="shared" si="22"/>
        <v>B</v>
      </c>
      <c r="M379" s="12" t="str">
        <f t="shared" si="23"/>
        <v>Desaprobado</v>
      </c>
      <c r="N379" s="15">
        <v>0.8</v>
      </c>
    </row>
    <row r="380" spans="1:14" x14ac:dyDescent="0.25">
      <c r="A380" s="10" t="s">
        <v>19</v>
      </c>
      <c r="B380" s="10" t="s">
        <v>85</v>
      </c>
      <c r="C380" s="10" t="s">
        <v>20</v>
      </c>
      <c r="D380" s="10" t="s">
        <v>79</v>
      </c>
      <c r="E380" s="10">
        <v>1</v>
      </c>
      <c r="F380" s="10">
        <v>0</v>
      </c>
      <c r="G380" s="10">
        <v>1</v>
      </c>
      <c r="H380" s="10">
        <v>2</v>
      </c>
      <c r="I380" s="10">
        <v>2</v>
      </c>
      <c r="J380" s="10">
        <f t="shared" si="20"/>
        <v>1.2</v>
      </c>
      <c r="K380" s="10">
        <f t="shared" si="21"/>
        <v>1</v>
      </c>
      <c r="L380" s="11" t="str">
        <f t="shared" si="22"/>
        <v>B</v>
      </c>
      <c r="M380" s="10" t="str">
        <f t="shared" si="23"/>
        <v>Desaprobado</v>
      </c>
      <c r="N380" s="14">
        <v>0.25</v>
      </c>
    </row>
    <row r="381" spans="1:14" x14ac:dyDescent="0.25">
      <c r="A381" s="12" t="s">
        <v>22</v>
      </c>
      <c r="B381" s="12" t="s">
        <v>85</v>
      </c>
      <c r="C381" s="12" t="s">
        <v>23</v>
      </c>
      <c r="D381" s="12" t="s">
        <v>79</v>
      </c>
      <c r="E381" s="12">
        <v>2</v>
      </c>
      <c r="F381" s="12">
        <v>3</v>
      </c>
      <c r="G381" s="12">
        <v>1</v>
      </c>
      <c r="H381" s="12">
        <v>2</v>
      </c>
      <c r="I381" s="12">
        <v>1</v>
      </c>
      <c r="J381" s="12">
        <f t="shared" si="20"/>
        <v>1.8</v>
      </c>
      <c r="K381" s="12">
        <f t="shared" si="21"/>
        <v>2</v>
      </c>
      <c r="L381" s="13" t="str">
        <f t="shared" si="22"/>
        <v>A</v>
      </c>
      <c r="M381" s="12" t="str">
        <f t="shared" si="23"/>
        <v>Aprobado</v>
      </c>
      <c r="N381" s="15">
        <v>0.4</v>
      </c>
    </row>
    <row r="382" spans="1:14" x14ac:dyDescent="0.25">
      <c r="A382" s="10" t="s">
        <v>25</v>
      </c>
      <c r="B382" s="10" t="s">
        <v>85</v>
      </c>
      <c r="C382" s="10" t="s">
        <v>26</v>
      </c>
      <c r="D382" s="10" t="s">
        <v>79</v>
      </c>
      <c r="E382" s="10">
        <v>2</v>
      </c>
      <c r="F382" s="10">
        <v>0</v>
      </c>
      <c r="G382" s="10">
        <v>1</v>
      </c>
      <c r="H382" s="10">
        <v>0</v>
      </c>
      <c r="I382" s="10">
        <v>1</v>
      </c>
      <c r="J382" s="10">
        <f t="shared" si="20"/>
        <v>0.8</v>
      </c>
      <c r="K382" s="10">
        <f t="shared" si="21"/>
        <v>1</v>
      </c>
      <c r="L382" s="11" t="str">
        <f t="shared" si="22"/>
        <v>B</v>
      </c>
      <c r="M382" s="10" t="str">
        <f t="shared" si="23"/>
        <v>Desaprobado</v>
      </c>
      <c r="N382" s="14">
        <v>0.4</v>
      </c>
    </row>
    <row r="383" spans="1:14" x14ac:dyDescent="0.25">
      <c r="A383" s="12" t="s">
        <v>28</v>
      </c>
      <c r="B383" s="12" t="s">
        <v>85</v>
      </c>
      <c r="C383" s="12" t="s">
        <v>29</v>
      </c>
      <c r="D383" s="12" t="s">
        <v>79</v>
      </c>
      <c r="E383" s="12">
        <v>3</v>
      </c>
      <c r="F383" s="12">
        <v>3</v>
      </c>
      <c r="G383" s="12">
        <v>0</v>
      </c>
      <c r="H383" s="12">
        <v>2</v>
      </c>
      <c r="I383" s="12">
        <v>3</v>
      </c>
      <c r="J383" s="12">
        <f t="shared" si="20"/>
        <v>2.2000000000000002</v>
      </c>
      <c r="K383" s="12">
        <f t="shared" si="21"/>
        <v>2</v>
      </c>
      <c r="L383" s="13" t="str">
        <f t="shared" si="22"/>
        <v>A</v>
      </c>
      <c r="M383" s="12" t="str">
        <f t="shared" si="23"/>
        <v>Aprobado</v>
      </c>
      <c r="N383" s="15">
        <v>0.5</v>
      </c>
    </row>
    <row r="384" spans="1:14" x14ac:dyDescent="0.25">
      <c r="A384" s="10" t="s">
        <v>31</v>
      </c>
      <c r="B384" s="10" t="s">
        <v>85</v>
      </c>
      <c r="C384" s="10" t="s">
        <v>32</v>
      </c>
      <c r="D384" s="10" t="s">
        <v>79</v>
      </c>
      <c r="E384" s="10">
        <v>0</v>
      </c>
      <c r="F384" s="10">
        <v>3</v>
      </c>
      <c r="G384" s="10">
        <v>2</v>
      </c>
      <c r="H384" s="10">
        <v>3</v>
      </c>
      <c r="I384" s="10">
        <v>1</v>
      </c>
      <c r="J384" s="10">
        <f t="shared" si="20"/>
        <v>1.8</v>
      </c>
      <c r="K384" s="10">
        <f t="shared" si="21"/>
        <v>2</v>
      </c>
      <c r="L384" s="11" t="str">
        <f t="shared" si="22"/>
        <v>A</v>
      </c>
      <c r="M384" s="10" t="str">
        <f t="shared" si="23"/>
        <v>Aprobado</v>
      </c>
      <c r="N384" s="14">
        <v>0.9</v>
      </c>
    </row>
    <row r="385" spans="1:14" x14ac:dyDescent="0.25">
      <c r="A385" s="12" t="s">
        <v>33</v>
      </c>
      <c r="B385" s="12" t="s">
        <v>85</v>
      </c>
      <c r="C385" s="12" t="s">
        <v>34</v>
      </c>
      <c r="D385" s="12" t="s">
        <v>79</v>
      </c>
      <c r="E385" s="12">
        <v>0</v>
      </c>
      <c r="F385" s="12">
        <v>3</v>
      </c>
      <c r="G385" s="12">
        <v>1</v>
      </c>
      <c r="H385" s="12">
        <v>2</v>
      </c>
      <c r="I385" s="12">
        <v>2</v>
      </c>
      <c r="J385" s="12">
        <f t="shared" si="20"/>
        <v>1.6</v>
      </c>
      <c r="K385" s="12">
        <f t="shared" si="21"/>
        <v>2</v>
      </c>
      <c r="L385" s="13" t="str">
        <f t="shared" si="22"/>
        <v>A</v>
      </c>
      <c r="M385" s="12" t="str">
        <f t="shared" si="23"/>
        <v>Aprobado</v>
      </c>
      <c r="N385" s="15">
        <v>0.7</v>
      </c>
    </row>
    <row r="386" spans="1:14" x14ac:dyDescent="0.25">
      <c r="A386" s="10" t="s">
        <v>35</v>
      </c>
      <c r="B386" s="10" t="s">
        <v>85</v>
      </c>
      <c r="C386" s="10" t="s">
        <v>36</v>
      </c>
      <c r="D386" s="10" t="s">
        <v>79</v>
      </c>
      <c r="E386" s="10">
        <v>3</v>
      </c>
      <c r="F386" s="10">
        <v>3</v>
      </c>
      <c r="G386" s="10">
        <v>0</v>
      </c>
      <c r="H386" s="10">
        <v>2</v>
      </c>
      <c r="I386" s="10">
        <v>2</v>
      </c>
      <c r="J386" s="10">
        <f t="shared" si="20"/>
        <v>2</v>
      </c>
      <c r="K386" s="10">
        <f t="shared" si="21"/>
        <v>2</v>
      </c>
      <c r="L386" s="11" t="str">
        <f t="shared" si="22"/>
        <v>A</v>
      </c>
      <c r="M386" s="10" t="str">
        <f t="shared" si="23"/>
        <v>Aprobado</v>
      </c>
      <c r="N386" s="14">
        <v>0.25</v>
      </c>
    </row>
    <row r="387" spans="1:14" x14ac:dyDescent="0.25">
      <c r="A387" s="12" t="s">
        <v>37</v>
      </c>
      <c r="B387" s="12" t="s">
        <v>85</v>
      </c>
      <c r="C387" s="12" t="s">
        <v>38</v>
      </c>
      <c r="D387" s="12" t="s">
        <v>79</v>
      </c>
      <c r="E387" s="12">
        <v>1</v>
      </c>
      <c r="F387" s="12">
        <v>0</v>
      </c>
      <c r="G387" s="12">
        <v>0</v>
      </c>
      <c r="H387" s="12">
        <v>2</v>
      </c>
      <c r="I387" s="12">
        <v>2</v>
      </c>
      <c r="J387" s="12">
        <f t="shared" ref="J387:J450" si="24">+AVERAGE(E387:I387)</f>
        <v>1</v>
      </c>
      <c r="K387" s="12">
        <f t="shared" ref="K387:K450" si="25">+ROUND(J387,0)</f>
        <v>1</v>
      </c>
      <c r="L387" s="13" t="str">
        <f t="shared" ref="L387:L450" si="26">+_xlfn.XLOOKUP(K387,$R$3:$R$6,$S$3:$S$6)</f>
        <v>B</v>
      </c>
      <c r="M387" s="12" t="str">
        <f t="shared" ref="M387:M450" si="27">+IF(OR(L387="AD",L387="A"),"Aprobado","Desaprobado")</f>
        <v>Desaprobado</v>
      </c>
      <c r="N387" s="15">
        <v>0.2</v>
      </c>
    </row>
    <row r="388" spans="1:14" x14ac:dyDescent="0.25">
      <c r="A388" s="10" t="s">
        <v>39</v>
      </c>
      <c r="B388" s="10" t="s">
        <v>85</v>
      </c>
      <c r="C388" s="10" t="s">
        <v>40</v>
      </c>
      <c r="D388" s="10" t="s">
        <v>79</v>
      </c>
      <c r="E388" s="10">
        <v>2</v>
      </c>
      <c r="F388" s="10">
        <v>2</v>
      </c>
      <c r="G388" s="10">
        <v>3</v>
      </c>
      <c r="H388" s="10">
        <v>3</v>
      </c>
      <c r="I388" s="10">
        <v>3</v>
      </c>
      <c r="J388" s="10">
        <f t="shared" si="24"/>
        <v>2.6</v>
      </c>
      <c r="K388" s="10">
        <f t="shared" si="25"/>
        <v>3</v>
      </c>
      <c r="L388" s="11" t="str">
        <f t="shared" si="26"/>
        <v>AD</v>
      </c>
      <c r="M388" s="10" t="str">
        <f t="shared" si="27"/>
        <v>Aprobado</v>
      </c>
      <c r="N388" s="14">
        <v>0.65</v>
      </c>
    </row>
    <row r="389" spans="1:14" x14ac:dyDescent="0.25">
      <c r="A389" s="12" t="s">
        <v>41</v>
      </c>
      <c r="B389" s="12" t="s">
        <v>85</v>
      </c>
      <c r="C389" s="12" t="s">
        <v>42</v>
      </c>
      <c r="D389" s="12" t="s">
        <v>79</v>
      </c>
      <c r="E389" s="12">
        <v>0</v>
      </c>
      <c r="F389" s="12">
        <v>3</v>
      </c>
      <c r="G389" s="12">
        <v>0</v>
      </c>
      <c r="H389" s="12">
        <v>1</v>
      </c>
      <c r="I389" s="12">
        <v>2</v>
      </c>
      <c r="J389" s="12">
        <f t="shared" si="24"/>
        <v>1.2</v>
      </c>
      <c r="K389" s="12">
        <f t="shared" si="25"/>
        <v>1</v>
      </c>
      <c r="L389" s="13" t="str">
        <f t="shared" si="26"/>
        <v>B</v>
      </c>
      <c r="M389" s="12" t="str">
        <f t="shared" si="27"/>
        <v>Desaprobado</v>
      </c>
      <c r="N389" s="15">
        <v>0.7</v>
      </c>
    </row>
    <row r="390" spans="1:14" x14ac:dyDescent="0.25">
      <c r="A390" s="10" t="s">
        <v>43</v>
      </c>
      <c r="B390" s="10" t="s">
        <v>85</v>
      </c>
      <c r="C390" s="10" t="s">
        <v>44</v>
      </c>
      <c r="D390" s="10" t="s">
        <v>79</v>
      </c>
      <c r="E390" s="10">
        <v>2</v>
      </c>
      <c r="F390" s="10">
        <v>2</v>
      </c>
      <c r="G390" s="10">
        <v>2</v>
      </c>
      <c r="H390" s="10">
        <v>3</v>
      </c>
      <c r="I390" s="10">
        <v>3</v>
      </c>
      <c r="J390" s="10">
        <f t="shared" si="24"/>
        <v>2.4</v>
      </c>
      <c r="K390" s="10">
        <f t="shared" si="25"/>
        <v>2</v>
      </c>
      <c r="L390" s="11" t="str">
        <f t="shared" si="26"/>
        <v>A</v>
      </c>
      <c r="M390" s="10" t="str">
        <f t="shared" si="27"/>
        <v>Aprobado</v>
      </c>
      <c r="N390" s="14">
        <v>0.6</v>
      </c>
    </row>
    <row r="391" spans="1:14" x14ac:dyDescent="0.25">
      <c r="A391" s="12" t="s">
        <v>45</v>
      </c>
      <c r="B391" s="12" t="s">
        <v>85</v>
      </c>
      <c r="C391" s="12" t="s">
        <v>46</v>
      </c>
      <c r="D391" s="12" t="s">
        <v>79</v>
      </c>
      <c r="E391" s="12">
        <v>3</v>
      </c>
      <c r="F391" s="12">
        <v>1</v>
      </c>
      <c r="G391" s="12">
        <v>1</v>
      </c>
      <c r="H391" s="12">
        <v>3</v>
      </c>
      <c r="I391" s="12">
        <v>2</v>
      </c>
      <c r="J391" s="12">
        <f t="shared" si="24"/>
        <v>2</v>
      </c>
      <c r="K391" s="12">
        <f t="shared" si="25"/>
        <v>2</v>
      </c>
      <c r="L391" s="13" t="str">
        <f t="shared" si="26"/>
        <v>A</v>
      </c>
      <c r="M391" s="12" t="str">
        <f t="shared" si="27"/>
        <v>Aprobado</v>
      </c>
      <c r="N391" s="15">
        <v>0.7</v>
      </c>
    </row>
    <row r="392" spans="1:14" x14ac:dyDescent="0.25">
      <c r="A392" s="10" t="s">
        <v>47</v>
      </c>
      <c r="B392" s="10" t="s">
        <v>85</v>
      </c>
      <c r="C392" s="10" t="s">
        <v>48</v>
      </c>
      <c r="D392" s="10" t="s">
        <v>79</v>
      </c>
      <c r="E392" s="10">
        <v>0</v>
      </c>
      <c r="F392" s="10">
        <v>0</v>
      </c>
      <c r="G392" s="10">
        <v>0</v>
      </c>
      <c r="H392" s="10">
        <v>1</v>
      </c>
      <c r="I392" s="10">
        <v>1</v>
      </c>
      <c r="J392" s="10">
        <f t="shared" si="24"/>
        <v>0.4</v>
      </c>
      <c r="K392" s="10">
        <f t="shared" si="25"/>
        <v>0</v>
      </c>
      <c r="L392" s="11" t="str">
        <f t="shared" si="26"/>
        <v>C</v>
      </c>
      <c r="M392" s="10" t="str">
        <f t="shared" si="27"/>
        <v>Desaprobado</v>
      </c>
      <c r="N392" s="14">
        <v>0.95</v>
      </c>
    </row>
    <row r="393" spans="1:14" x14ac:dyDescent="0.25">
      <c r="A393" s="12" t="s">
        <v>49</v>
      </c>
      <c r="B393" s="12" t="s">
        <v>85</v>
      </c>
      <c r="C393" s="12" t="s">
        <v>50</v>
      </c>
      <c r="D393" s="12" t="s">
        <v>79</v>
      </c>
      <c r="E393" s="12">
        <v>0</v>
      </c>
      <c r="F393" s="12">
        <v>0</v>
      </c>
      <c r="G393" s="12">
        <v>1</v>
      </c>
      <c r="H393" s="12">
        <v>1</v>
      </c>
      <c r="I393" s="12">
        <v>0</v>
      </c>
      <c r="J393" s="12">
        <f t="shared" si="24"/>
        <v>0.4</v>
      </c>
      <c r="K393" s="12">
        <f t="shared" si="25"/>
        <v>0</v>
      </c>
      <c r="L393" s="13" t="str">
        <f t="shared" si="26"/>
        <v>C</v>
      </c>
      <c r="M393" s="12" t="str">
        <f t="shared" si="27"/>
        <v>Desaprobado</v>
      </c>
      <c r="N393" s="15">
        <v>0.3</v>
      </c>
    </row>
    <row r="394" spans="1:14" x14ac:dyDescent="0.25">
      <c r="A394" s="10" t="s">
        <v>51</v>
      </c>
      <c r="B394" s="10" t="s">
        <v>85</v>
      </c>
      <c r="C394" s="10" t="s">
        <v>52</v>
      </c>
      <c r="D394" s="10" t="s">
        <v>79</v>
      </c>
      <c r="E394" s="10">
        <v>3</v>
      </c>
      <c r="F394" s="10">
        <v>2</v>
      </c>
      <c r="G394" s="10">
        <v>0</v>
      </c>
      <c r="H394" s="10">
        <v>1</v>
      </c>
      <c r="I394" s="10">
        <v>1</v>
      </c>
      <c r="J394" s="10">
        <f t="shared" si="24"/>
        <v>1.4</v>
      </c>
      <c r="K394" s="10">
        <f t="shared" si="25"/>
        <v>1</v>
      </c>
      <c r="L394" s="11" t="str">
        <f t="shared" si="26"/>
        <v>B</v>
      </c>
      <c r="M394" s="10" t="str">
        <f t="shared" si="27"/>
        <v>Desaprobado</v>
      </c>
      <c r="N394" s="14">
        <v>0.1</v>
      </c>
    </row>
    <row r="395" spans="1:14" x14ac:dyDescent="0.25">
      <c r="A395" s="12" t="s">
        <v>53</v>
      </c>
      <c r="B395" s="12" t="s">
        <v>85</v>
      </c>
      <c r="C395" s="12" t="s">
        <v>54</v>
      </c>
      <c r="D395" s="12" t="s">
        <v>79</v>
      </c>
      <c r="E395" s="12">
        <v>2</v>
      </c>
      <c r="F395" s="12">
        <v>2</v>
      </c>
      <c r="G395" s="12">
        <v>2</v>
      </c>
      <c r="H395" s="12">
        <v>2</v>
      </c>
      <c r="I395" s="12">
        <v>3</v>
      </c>
      <c r="J395" s="12">
        <f t="shared" si="24"/>
        <v>2.2000000000000002</v>
      </c>
      <c r="K395" s="12">
        <f t="shared" si="25"/>
        <v>2</v>
      </c>
      <c r="L395" s="13" t="str">
        <f t="shared" si="26"/>
        <v>A</v>
      </c>
      <c r="M395" s="12" t="str">
        <f t="shared" si="27"/>
        <v>Aprobado</v>
      </c>
      <c r="N395" s="15">
        <v>0.9</v>
      </c>
    </row>
    <row r="396" spans="1:14" x14ac:dyDescent="0.25">
      <c r="A396" s="10" t="s">
        <v>55</v>
      </c>
      <c r="B396" s="10" t="s">
        <v>85</v>
      </c>
      <c r="C396" s="10" t="s">
        <v>56</v>
      </c>
      <c r="D396" s="10" t="s">
        <v>79</v>
      </c>
      <c r="E396" s="10">
        <v>0</v>
      </c>
      <c r="F396" s="10">
        <v>3</v>
      </c>
      <c r="G396" s="10">
        <v>2</v>
      </c>
      <c r="H396" s="10">
        <v>3</v>
      </c>
      <c r="I396" s="10">
        <v>3</v>
      </c>
      <c r="J396" s="10">
        <f t="shared" si="24"/>
        <v>2.2000000000000002</v>
      </c>
      <c r="K396" s="10">
        <f t="shared" si="25"/>
        <v>2</v>
      </c>
      <c r="L396" s="11" t="str">
        <f t="shared" si="26"/>
        <v>A</v>
      </c>
      <c r="M396" s="10" t="str">
        <f t="shared" si="27"/>
        <v>Aprobado</v>
      </c>
      <c r="N396" s="14">
        <v>0.95</v>
      </c>
    </row>
    <row r="397" spans="1:14" x14ac:dyDescent="0.25">
      <c r="A397" s="12" t="s">
        <v>57</v>
      </c>
      <c r="B397" s="12" t="s">
        <v>85</v>
      </c>
      <c r="C397" s="12" t="s">
        <v>58</v>
      </c>
      <c r="D397" s="12" t="s">
        <v>79</v>
      </c>
      <c r="E397" s="12">
        <v>0</v>
      </c>
      <c r="F397" s="12">
        <v>2</v>
      </c>
      <c r="G397" s="12">
        <v>1</v>
      </c>
      <c r="H397" s="12">
        <v>3</v>
      </c>
      <c r="I397" s="12">
        <v>3</v>
      </c>
      <c r="J397" s="12">
        <f t="shared" si="24"/>
        <v>1.8</v>
      </c>
      <c r="K397" s="12">
        <f t="shared" si="25"/>
        <v>2</v>
      </c>
      <c r="L397" s="13" t="str">
        <f t="shared" si="26"/>
        <v>A</v>
      </c>
      <c r="M397" s="12" t="str">
        <f t="shared" si="27"/>
        <v>Aprobado</v>
      </c>
      <c r="N397" s="15">
        <v>0.75</v>
      </c>
    </row>
    <row r="398" spans="1:14" x14ac:dyDescent="0.25">
      <c r="A398" s="10" t="s">
        <v>59</v>
      </c>
      <c r="B398" s="10" t="s">
        <v>85</v>
      </c>
      <c r="C398" s="10" t="s">
        <v>60</v>
      </c>
      <c r="D398" s="10" t="s">
        <v>79</v>
      </c>
      <c r="E398" s="10">
        <v>2</v>
      </c>
      <c r="F398" s="10">
        <v>0</v>
      </c>
      <c r="G398" s="10">
        <v>2</v>
      </c>
      <c r="H398" s="10">
        <v>3</v>
      </c>
      <c r="I398" s="10">
        <v>2</v>
      </c>
      <c r="J398" s="10">
        <f t="shared" si="24"/>
        <v>1.8</v>
      </c>
      <c r="K398" s="10">
        <f t="shared" si="25"/>
        <v>2</v>
      </c>
      <c r="L398" s="11" t="str">
        <f t="shared" si="26"/>
        <v>A</v>
      </c>
      <c r="M398" s="10" t="str">
        <f t="shared" si="27"/>
        <v>Aprobado</v>
      </c>
      <c r="N398" s="14">
        <v>0.2</v>
      </c>
    </row>
    <row r="399" spans="1:14" x14ac:dyDescent="0.25">
      <c r="A399" s="12" t="s">
        <v>61</v>
      </c>
      <c r="B399" s="12" t="s">
        <v>85</v>
      </c>
      <c r="C399" s="12" t="s">
        <v>62</v>
      </c>
      <c r="D399" s="12" t="s">
        <v>79</v>
      </c>
      <c r="E399" s="12">
        <v>0</v>
      </c>
      <c r="F399" s="12">
        <v>1</v>
      </c>
      <c r="G399" s="12">
        <v>1</v>
      </c>
      <c r="H399" s="12">
        <v>1</v>
      </c>
      <c r="I399" s="12">
        <v>0</v>
      </c>
      <c r="J399" s="12">
        <f t="shared" si="24"/>
        <v>0.6</v>
      </c>
      <c r="K399" s="12">
        <f t="shared" si="25"/>
        <v>1</v>
      </c>
      <c r="L399" s="13" t="str">
        <f t="shared" si="26"/>
        <v>B</v>
      </c>
      <c r="M399" s="12" t="str">
        <f t="shared" si="27"/>
        <v>Desaprobado</v>
      </c>
      <c r="N399" s="15">
        <v>0.95</v>
      </c>
    </row>
    <row r="400" spans="1:14" x14ac:dyDescent="0.25">
      <c r="A400" s="10" t="s">
        <v>63</v>
      </c>
      <c r="B400" s="10" t="s">
        <v>85</v>
      </c>
      <c r="C400" s="10" t="s">
        <v>64</v>
      </c>
      <c r="D400" s="10" t="s">
        <v>79</v>
      </c>
      <c r="E400" s="10">
        <v>0</v>
      </c>
      <c r="F400" s="10">
        <v>1</v>
      </c>
      <c r="G400" s="10">
        <v>0</v>
      </c>
      <c r="H400" s="10">
        <v>1</v>
      </c>
      <c r="I400" s="10">
        <v>1</v>
      </c>
      <c r="J400" s="10">
        <f t="shared" si="24"/>
        <v>0.6</v>
      </c>
      <c r="K400" s="10">
        <f t="shared" si="25"/>
        <v>1</v>
      </c>
      <c r="L400" s="11" t="str">
        <f t="shared" si="26"/>
        <v>B</v>
      </c>
      <c r="M400" s="10" t="str">
        <f t="shared" si="27"/>
        <v>Desaprobado</v>
      </c>
      <c r="N400" s="14">
        <v>1</v>
      </c>
    </row>
    <row r="401" spans="1:14" x14ac:dyDescent="0.25">
      <c r="A401" s="12" t="s">
        <v>65</v>
      </c>
      <c r="B401" s="12" t="s">
        <v>85</v>
      </c>
      <c r="C401" s="12" t="s">
        <v>66</v>
      </c>
      <c r="D401" s="12" t="s">
        <v>79</v>
      </c>
      <c r="E401" s="12">
        <v>3</v>
      </c>
      <c r="F401" s="12">
        <v>0</v>
      </c>
      <c r="G401" s="12">
        <v>2</v>
      </c>
      <c r="H401" s="12">
        <v>2</v>
      </c>
      <c r="I401" s="12">
        <v>2</v>
      </c>
      <c r="J401" s="12">
        <f t="shared" si="24"/>
        <v>1.8</v>
      </c>
      <c r="K401" s="12">
        <f t="shared" si="25"/>
        <v>2</v>
      </c>
      <c r="L401" s="13" t="str">
        <f t="shared" si="26"/>
        <v>A</v>
      </c>
      <c r="M401" s="12" t="str">
        <f t="shared" si="27"/>
        <v>Aprobado</v>
      </c>
      <c r="N401" s="15">
        <v>0.25</v>
      </c>
    </row>
    <row r="402" spans="1:14" x14ac:dyDescent="0.25">
      <c r="A402" s="10" t="s">
        <v>67</v>
      </c>
      <c r="B402" s="10" t="s">
        <v>85</v>
      </c>
      <c r="C402" s="10" t="s">
        <v>68</v>
      </c>
      <c r="D402" s="10" t="s">
        <v>79</v>
      </c>
      <c r="E402" s="10">
        <v>3</v>
      </c>
      <c r="F402" s="10">
        <v>1</v>
      </c>
      <c r="G402" s="10">
        <v>2</v>
      </c>
      <c r="H402" s="10">
        <v>3</v>
      </c>
      <c r="I402" s="10">
        <v>2</v>
      </c>
      <c r="J402" s="10">
        <f t="shared" si="24"/>
        <v>2.2000000000000002</v>
      </c>
      <c r="K402" s="10">
        <f t="shared" si="25"/>
        <v>2</v>
      </c>
      <c r="L402" s="11" t="str">
        <f t="shared" si="26"/>
        <v>A</v>
      </c>
      <c r="M402" s="10" t="str">
        <f t="shared" si="27"/>
        <v>Aprobado</v>
      </c>
      <c r="N402" s="14">
        <v>0.4</v>
      </c>
    </row>
    <row r="403" spans="1:14" x14ac:dyDescent="0.25">
      <c r="A403" s="12" t="s">
        <v>69</v>
      </c>
      <c r="B403" s="12" t="s">
        <v>85</v>
      </c>
      <c r="C403" s="12" t="s">
        <v>70</v>
      </c>
      <c r="D403" s="12" t="s">
        <v>79</v>
      </c>
      <c r="E403" s="12">
        <v>0</v>
      </c>
      <c r="F403" s="12">
        <v>0</v>
      </c>
      <c r="G403" s="12">
        <v>3</v>
      </c>
      <c r="H403" s="12">
        <v>3</v>
      </c>
      <c r="I403" s="12">
        <v>3</v>
      </c>
      <c r="J403" s="12">
        <f t="shared" si="24"/>
        <v>1.8</v>
      </c>
      <c r="K403" s="12">
        <f t="shared" si="25"/>
        <v>2</v>
      </c>
      <c r="L403" s="13" t="str">
        <f t="shared" si="26"/>
        <v>A</v>
      </c>
      <c r="M403" s="12" t="str">
        <f t="shared" si="27"/>
        <v>Aprobado</v>
      </c>
      <c r="N403" s="15">
        <v>0.4</v>
      </c>
    </row>
    <row r="404" spans="1:14" x14ac:dyDescent="0.25">
      <c r="A404" s="10" t="s">
        <v>71</v>
      </c>
      <c r="B404" s="10" t="s">
        <v>85</v>
      </c>
      <c r="C404" s="10" t="s">
        <v>72</v>
      </c>
      <c r="D404" s="10" t="s">
        <v>79</v>
      </c>
      <c r="E404" s="10">
        <v>3</v>
      </c>
      <c r="F404" s="10">
        <v>2</v>
      </c>
      <c r="G404" s="10">
        <v>3</v>
      </c>
      <c r="H404" s="10">
        <v>0</v>
      </c>
      <c r="I404" s="10">
        <v>2</v>
      </c>
      <c r="J404" s="10">
        <f t="shared" si="24"/>
        <v>2</v>
      </c>
      <c r="K404" s="10">
        <f t="shared" si="25"/>
        <v>2</v>
      </c>
      <c r="L404" s="11" t="str">
        <f t="shared" si="26"/>
        <v>A</v>
      </c>
      <c r="M404" s="10" t="str">
        <f t="shared" si="27"/>
        <v>Aprobado</v>
      </c>
      <c r="N404" s="14">
        <v>0.5</v>
      </c>
    </row>
    <row r="405" spans="1:14" x14ac:dyDescent="0.25">
      <c r="A405" s="12" t="s">
        <v>73</v>
      </c>
      <c r="B405" s="12" t="s">
        <v>85</v>
      </c>
      <c r="C405" s="12" t="s">
        <v>74</v>
      </c>
      <c r="D405" s="12" t="s">
        <v>79</v>
      </c>
      <c r="E405" s="12">
        <v>1</v>
      </c>
      <c r="F405" s="12">
        <v>3</v>
      </c>
      <c r="G405" s="12">
        <v>1</v>
      </c>
      <c r="H405" s="12">
        <v>2</v>
      </c>
      <c r="I405" s="12">
        <v>1</v>
      </c>
      <c r="J405" s="12">
        <f t="shared" si="24"/>
        <v>1.6</v>
      </c>
      <c r="K405" s="12">
        <f t="shared" si="25"/>
        <v>2</v>
      </c>
      <c r="L405" s="13" t="str">
        <f t="shared" si="26"/>
        <v>A</v>
      </c>
      <c r="M405" s="12" t="str">
        <f t="shared" si="27"/>
        <v>Aprobado</v>
      </c>
      <c r="N405" s="15">
        <v>0.7</v>
      </c>
    </row>
    <row r="406" spans="1:14" x14ac:dyDescent="0.25">
      <c r="A406" s="10" t="s">
        <v>75</v>
      </c>
      <c r="B406" s="10" t="s">
        <v>85</v>
      </c>
      <c r="C406" s="10" t="s">
        <v>76</v>
      </c>
      <c r="D406" s="10" t="s">
        <v>79</v>
      </c>
      <c r="E406" s="10">
        <v>3</v>
      </c>
      <c r="F406" s="10">
        <v>1</v>
      </c>
      <c r="G406" s="10">
        <v>3</v>
      </c>
      <c r="H406" s="10">
        <v>1</v>
      </c>
      <c r="I406" s="10">
        <v>2</v>
      </c>
      <c r="J406" s="10">
        <f t="shared" si="24"/>
        <v>2</v>
      </c>
      <c r="K406" s="10">
        <f t="shared" si="25"/>
        <v>2</v>
      </c>
      <c r="L406" s="11" t="str">
        <f t="shared" si="26"/>
        <v>A</v>
      </c>
      <c r="M406" s="10" t="str">
        <f t="shared" si="27"/>
        <v>Aprobado</v>
      </c>
      <c r="N406" s="14">
        <v>0.7</v>
      </c>
    </row>
    <row r="407" spans="1:14" x14ac:dyDescent="0.25">
      <c r="A407" s="12" t="s">
        <v>77</v>
      </c>
      <c r="B407" s="12" t="s">
        <v>85</v>
      </c>
      <c r="C407" s="12" t="s">
        <v>78</v>
      </c>
      <c r="D407" s="12" t="s">
        <v>79</v>
      </c>
      <c r="E407" s="12">
        <v>0</v>
      </c>
      <c r="F407" s="12">
        <v>2</v>
      </c>
      <c r="G407" s="12">
        <v>3</v>
      </c>
      <c r="H407" s="12">
        <v>0</v>
      </c>
      <c r="I407" s="12">
        <v>2</v>
      </c>
      <c r="J407" s="12">
        <f t="shared" si="24"/>
        <v>1.4</v>
      </c>
      <c r="K407" s="12">
        <f t="shared" si="25"/>
        <v>1</v>
      </c>
      <c r="L407" s="13" t="str">
        <f t="shared" si="26"/>
        <v>B</v>
      </c>
      <c r="M407" s="12" t="str">
        <f t="shared" si="27"/>
        <v>Desaprobado</v>
      </c>
      <c r="N407" s="15">
        <v>0.25</v>
      </c>
    </row>
    <row r="408" spans="1:14" x14ac:dyDescent="0.25">
      <c r="A408" s="10" t="s">
        <v>14</v>
      </c>
      <c r="B408" s="10" t="s">
        <v>85</v>
      </c>
      <c r="C408" s="10" t="s">
        <v>16</v>
      </c>
      <c r="D408" s="10" t="s">
        <v>80</v>
      </c>
      <c r="E408" s="10">
        <v>1</v>
      </c>
      <c r="F408" s="10">
        <v>2</v>
      </c>
      <c r="G408" s="10">
        <v>0</v>
      </c>
      <c r="H408" s="10">
        <v>0</v>
      </c>
      <c r="I408" s="10">
        <v>3</v>
      </c>
      <c r="J408" s="10">
        <f t="shared" si="24"/>
        <v>1.2</v>
      </c>
      <c r="K408" s="10">
        <f t="shared" si="25"/>
        <v>1</v>
      </c>
      <c r="L408" s="11" t="str">
        <f t="shared" si="26"/>
        <v>B</v>
      </c>
      <c r="M408" s="10" t="str">
        <f t="shared" si="27"/>
        <v>Desaprobado</v>
      </c>
      <c r="N408" s="14">
        <v>0.2</v>
      </c>
    </row>
    <row r="409" spans="1:14" x14ac:dyDescent="0.25">
      <c r="A409" s="12" t="s">
        <v>19</v>
      </c>
      <c r="B409" s="12" t="s">
        <v>85</v>
      </c>
      <c r="C409" s="12" t="s">
        <v>20</v>
      </c>
      <c r="D409" s="12" t="s">
        <v>80</v>
      </c>
      <c r="E409" s="12">
        <v>2</v>
      </c>
      <c r="F409" s="12">
        <v>3</v>
      </c>
      <c r="G409" s="12">
        <v>1</v>
      </c>
      <c r="H409" s="12">
        <v>2</v>
      </c>
      <c r="I409" s="12">
        <v>1</v>
      </c>
      <c r="J409" s="12">
        <f t="shared" si="24"/>
        <v>1.8</v>
      </c>
      <c r="K409" s="12">
        <f t="shared" si="25"/>
        <v>2</v>
      </c>
      <c r="L409" s="13" t="str">
        <f t="shared" si="26"/>
        <v>A</v>
      </c>
      <c r="M409" s="12" t="str">
        <f t="shared" si="27"/>
        <v>Aprobado</v>
      </c>
      <c r="N409" s="15">
        <v>0.65</v>
      </c>
    </row>
    <row r="410" spans="1:14" x14ac:dyDescent="0.25">
      <c r="A410" s="10" t="s">
        <v>22</v>
      </c>
      <c r="B410" s="10" t="s">
        <v>85</v>
      </c>
      <c r="C410" s="10" t="s">
        <v>23</v>
      </c>
      <c r="D410" s="10" t="s">
        <v>80</v>
      </c>
      <c r="E410" s="10">
        <v>0</v>
      </c>
      <c r="F410" s="10">
        <v>2</v>
      </c>
      <c r="G410" s="10">
        <v>3</v>
      </c>
      <c r="H410" s="10">
        <v>2</v>
      </c>
      <c r="I410" s="10">
        <v>1</v>
      </c>
      <c r="J410" s="10">
        <f t="shared" si="24"/>
        <v>1.6</v>
      </c>
      <c r="K410" s="10">
        <f t="shared" si="25"/>
        <v>2</v>
      </c>
      <c r="L410" s="11" t="str">
        <f t="shared" si="26"/>
        <v>A</v>
      </c>
      <c r="M410" s="10" t="str">
        <f t="shared" si="27"/>
        <v>Aprobado</v>
      </c>
      <c r="N410" s="14">
        <v>0.7</v>
      </c>
    </row>
    <row r="411" spans="1:14" x14ac:dyDescent="0.25">
      <c r="A411" s="12" t="s">
        <v>25</v>
      </c>
      <c r="B411" s="12" t="s">
        <v>85</v>
      </c>
      <c r="C411" s="12" t="s">
        <v>26</v>
      </c>
      <c r="D411" s="12" t="s">
        <v>80</v>
      </c>
      <c r="E411" s="12">
        <v>3</v>
      </c>
      <c r="F411" s="12">
        <v>2</v>
      </c>
      <c r="G411" s="12">
        <v>1</v>
      </c>
      <c r="H411" s="12">
        <v>0</v>
      </c>
      <c r="I411" s="12">
        <v>1</v>
      </c>
      <c r="J411" s="12">
        <f t="shared" si="24"/>
        <v>1.4</v>
      </c>
      <c r="K411" s="12">
        <f t="shared" si="25"/>
        <v>1</v>
      </c>
      <c r="L411" s="13" t="str">
        <f t="shared" si="26"/>
        <v>B</v>
      </c>
      <c r="M411" s="12" t="str">
        <f t="shared" si="27"/>
        <v>Desaprobado</v>
      </c>
      <c r="N411" s="15">
        <v>0.9</v>
      </c>
    </row>
    <row r="412" spans="1:14" x14ac:dyDescent="0.25">
      <c r="A412" s="10" t="s">
        <v>28</v>
      </c>
      <c r="B412" s="10" t="s">
        <v>85</v>
      </c>
      <c r="C412" s="10" t="s">
        <v>29</v>
      </c>
      <c r="D412" s="10" t="s">
        <v>80</v>
      </c>
      <c r="E412" s="10">
        <v>3</v>
      </c>
      <c r="F412" s="10">
        <v>3</v>
      </c>
      <c r="G412" s="10">
        <v>1</v>
      </c>
      <c r="H412" s="10">
        <v>2</v>
      </c>
      <c r="I412" s="10">
        <v>2</v>
      </c>
      <c r="J412" s="10">
        <f t="shared" si="24"/>
        <v>2.2000000000000002</v>
      </c>
      <c r="K412" s="10">
        <f t="shared" si="25"/>
        <v>2</v>
      </c>
      <c r="L412" s="11" t="str">
        <f t="shared" si="26"/>
        <v>A</v>
      </c>
      <c r="M412" s="10" t="str">
        <f t="shared" si="27"/>
        <v>Aprobado</v>
      </c>
      <c r="N412" s="14">
        <v>0.7</v>
      </c>
    </row>
    <row r="413" spans="1:14" x14ac:dyDescent="0.25">
      <c r="A413" s="12" t="s">
        <v>31</v>
      </c>
      <c r="B413" s="12" t="s">
        <v>85</v>
      </c>
      <c r="C413" s="12" t="s">
        <v>32</v>
      </c>
      <c r="D413" s="12" t="s">
        <v>80</v>
      </c>
      <c r="E413" s="12">
        <v>2</v>
      </c>
      <c r="F413" s="12">
        <v>0</v>
      </c>
      <c r="G413" s="12">
        <v>1</v>
      </c>
      <c r="H413" s="12">
        <v>2</v>
      </c>
      <c r="I413" s="12">
        <v>1</v>
      </c>
      <c r="J413" s="12">
        <f t="shared" si="24"/>
        <v>1.2</v>
      </c>
      <c r="K413" s="12">
        <f t="shared" si="25"/>
        <v>1</v>
      </c>
      <c r="L413" s="13" t="str">
        <f t="shared" si="26"/>
        <v>B</v>
      </c>
      <c r="M413" s="12" t="str">
        <f t="shared" si="27"/>
        <v>Desaprobado</v>
      </c>
      <c r="N413" s="15">
        <v>0.95</v>
      </c>
    </row>
    <row r="414" spans="1:14" x14ac:dyDescent="0.25">
      <c r="A414" s="10" t="s">
        <v>33</v>
      </c>
      <c r="B414" s="10" t="s">
        <v>85</v>
      </c>
      <c r="C414" s="10" t="s">
        <v>34</v>
      </c>
      <c r="D414" s="10" t="s">
        <v>80</v>
      </c>
      <c r="E414" s="10">
        <v>2</v>
      </c>
      <c r="F414" s="10">
        <v>2</v>
      </c>
      <c r="G414" s="10">
        <v>0</v>
      </c>
      <c r="H414" s="10">
        <v>3</v>
      </c>
      <c r="I414" s="10">
        <v>3</v>
      </c>
      <c r="J414" s="10">
        <f t="shared" si="24"/>
        <v>2</v>
      </c>
      <c r="K414" s="10">
        <f t="shared" si="25"/>
        <v>2</v>
      </c>
      <c r="L414" s="11" t="str">
        <f t="shared" si="26"/>
        <v>A</v>
      </c>
      <c r="M414" s="10" t="str">
        <f t="shared" si="27"/>
        <v>Aprobado</v>
      </c>
      <c r="N414" s="14">
        <v>0.6</v>
      </c>
    </row>
    <row r="415" spans="1:14" x14ac:dyDescent="0.25">
      <c r="A415" s="12" t="s">
        <v>35</v>
      </c>
      <c r="B415" s="12" t="s">
        <v>85</v>
      </c>
      <c r="C415" s="12" t="s">
        <v>36</v>
      </c>
      <c r="D415" s="12" t="s">
        <v>80</v>
      </c>
      <c r="E415" s="12">
        <v>3</v>
      </c>
      <c r="F415" s="12">
        <v>3</v>
      </c>
      <c r="G415" s="12">
        <v>0</v>
      </c>
      <c r="H415" s="12">
        <v>0</v>
      </c>
      <c r="I415" s="12">
        <v>2</v>
      </c>
      <c r="J415" s="12">
        <f t="shared" si="24"/>
        <v>1.6</v>
      </c>
      <c r="K415" s="12">
        <f t="shared" si="25"/>
        <v>2</v>
      </c>
      <c r="L415" s="13" t="str">
        <f t="shared" si="26"/>
        <v>A</v>
      </c>
      <c r="M415" s="12" t="str">
        <f t="shared" si="27"/>
        <v>Aprobado</v>
      </c>
      <c r="N415" s="15">
        <v>0.1</v>
      </c>
    </row>
    <row r="416" spans="1:14" x14ac:dyDescent="0.25">
      <c r="A416" s="10" t="s">
        <v>37</v>
      </c>
      <c r="B416" s="10" t="s">
        <v>85</v>
      </c>
      <c r="C416" s="10" t="s">
        <v>38</v>
      </c>
      <c r="D416" s="10" t="s">
        <v>80</v>
      </c>
      <c r="E416" s="10">
        <v>2</v>
      </c>
      <c r="F416" s="10">
        <v>2</v>
      </c>
      <c r="G416" s="10">
        <v>0</v>
      </c>
      <c r="H416" s="10">
        <v>0</v>
      </c>
      <c r="I416" s="10">
        <v>1</v>
      </c>
      <c r="J416" s="10">
        <f t="shared" si="24"/>
        <v>1</v>
      </c>
      <c r="K416" s="10">
        <f t="shared" si="25"/>
        <v>1</v>
      </c>
      <c r="L416" s="11" t="str">
        <f t="shared" si="26"/>
        <v>B</v>
      </c>
      <c r="M416" s="10" t="str">
        <f t="shared" si="27"/>
        <v>Desaprobado</v>
      </c>
      <c r="N416" s="14">
        <v>0.9</v>
      </c>
    </row>
    <row r="417" spans="1:14" x14ac:dyDescent="0.25">
      <c r="A417" s="12" t="s">
        <v>39</v>
      </c>
      <c r="B417" s="12" t="s">
        <v>85</v>
      </c>
      <c r="C417" s="12" t="s">
        <v>40</v>
      </c>
      <c r="D417" s="12" t="s">
        <v>80</v>
      </c>
      <c r="E417" s="12">
        <v>2</v>
      </c>
      <c r="F417" s="12">
        <v>2</v>
      </c>
      <c r="G417" s="12">
        <v>0</v>
      </c>
      <c r="H417" s="12">
        <v>3</v>
      </c>
      <c r="I417" s="12">
        <v>3</v>
      </c>
      <c r="J417" s="12">
        <f t="shared" si="24"/>
        <v>2</v>
      </c>
      <c r="K417" s="12">
        <f t="shared" si="25"/>
        <v>2</v>
      </c>
      <c r="L417" s="13" t="str">
        <f t="shared" si="26"/>
        <v>A</v>
      </c>
      <c r="M417" s="12" t="str">
        <f t="shared" si="27"/>
        <v>Aprobado</v>
      </c>
      <c r="N417" s="15">
        <v>0.95</v>
      </c>
    </row>
    <row r="418" spans="1:14" x14ac:dyDescent="0.25">
      <c r="A418" s="10" t="s">
        <v>41</v>
      </c>
      <c r="B418" s="10" t="s">
        <v>85</v>
      </c>
      <c r="C418" s="10" t="s">
        <v>42</v>
      </c>
      <c r="D418" s="10" t="s">
        <v>80</v>
      </c>
      <c r="E418" s="10">
        <v>1</v>
      </c>
      <c r="F418" s="10">
        <v>0</v>
      </c>
      <c r="G418" s="10">
        <v>0</v>
      </c>
      <c r="H418" s="10">
        <v>3</v>
      </c>
      <c r="I418" s="10">
        <v>3</v>
      </c>
      <c r="J418" s="10">
        <f t="shared" si="24"/>
        <v>1.4</v>
      </c>
      <c r="K418" s="10">
        <f t="shared" si="25"/>
        <v>1</v>
      </c>
      <c r="L418" s="11" t="str">
        <f t="shared" si="26"/>
        <v>B</v>
      </c>
      <c r="M418" s="10" t="str">
        <f t="shared" si="27"/>
        <v>Desaprobado</v>
      </c>
      <c r="N418" s="14">
        <v>0.6</v>
      </c>
    </row>
    <row r="419" spans="1:14" x14ac:dyDescent="0.25">
      <c r="A419" s="12" t="s">
        <v>43</v>
      </c>
      <c r="B419" s="12" t="s">
        <v>85</v>
      </c>
      <c r="C419" s="12" t="s">
        <v>44</v>
      </c>
      <c r="D419" s="12" t="s">
        <v>80</v>
      </c>
      <c r="E419" s="12">
        <v>1</v>
      </c>
      <c r="F419" s="12">
        <v>3</v>
      </c>
      <c r="G419" s="12">
        <v>1</v>
      </c>
      <c r="H419" s="12">
        <v>1</v>
      </c>
      <c r="I419" s="12">
        <v>1</v>
      </c>
      <c r="J419" s="12">
        <f t="shared" si="24"/>
        <v>1.4</v>
      </c>
      <c r="K419" s="12">
        <f t="shared" si="25"/>
        <v>1</v>
      </c>
      <c r="L419" s="13" t="str">
        <f t="shared" si="26"/>
        <v>B</v>
      </c>
      <c r="M419" s="12" t="str">
        <f t="shared" si="27"/>
        <v>Desaprobado</v>
      </c>
      <c r="N419" s="15">
        <v>0.2</v>
      </c>
    </row>
    <row r="420" spans="1:14" x14ac:dyDescent="0.25">
      <c r="A420" s="10" t="s">
        <v>45</v>
      </c>
      <c r="B420" s="10" t="s">
        <v>85</v>
      </c>
      <c r="C420" s="10" t="s">
        <v>46</v>
      </c>
      <c r="D420" s="10" t="s">
        <v>80</v>
      </c>
      <c r="E420" s="10">
        <v>2</v>
      </c>
      <c r="F420" s="10">
        <v>1</v>
      </c>
      <c r="G420" s="10">
        <v>3</v>
      </c>
      <c r="H420" s="10">
        <v>2</v>
      </c>
      <c r="I420" s="10">
        <v>2</v>
      </c>
      <c r="J420" s="10">
        <f t="shared" si="24"/>
        <v>2</v>
      </c>
      <c r="K420" s="10">
        <f t="shared" si="25"/>
        <v>2</v>
      </c>
      <c r="L420" s="11" t="str">
        <f t="shared" si="26"/>
        <v>A</v>
      </c>
      <c r="M420" s="10" t="str">
        <f t="shared" si="27"/>
        <v>Aprobado</v>
      </c>
      <c r="N420" s="14">
        <v>0.95</v>
      </c>
    </row>
    <row r="421" spans="1:14" x14ac:dyDescent="0.25">
      <c r="A421" s="12" t="s">
        <v>47</v>
      </c>
      <c r="B421" s="12" t="s">
        <v>85</v>
      </c>
      <c r="C421" s="12" t="s">
        <v>48</v>
      </c>
      <c r="D421" s="12" t="s">
        <v>80</v>
      </c>
      <c r="E421" s="12">
        <v>1</v>
      </c>
      <c r="F421" s="12">
        <v>2</v>
      </c>
      <c r="G421" s="12">
        <v>0</v>
      </c>
      <c r="H421" s="12">
        <v>0</v>
      </c>
      <c r="I421" s="12">
        <v>3</v>
      </c>
      <c r="J421" s="12">
        <f t="shared" si="24"/>
        <v>1.2</v>
      </c>
      <c r="K421" s="12">
        <f t="shared" si="25"/>
        <v>1</v>
      </c>
      <c r="L421" s="13" t="str">
        <f t="shared" si="26"/>
        <v>B</v>
      </c>
      <c r="M421" s="12" t="str">
        <f t="shared" si="27"/>
        <v>Desaprobado</v>
      </c>
      <c r="N421" s="15">
        <v>0.8</v>
      </c>
    </row>
    <row r="422" spans="1:14" x14ac:dyDescent="0.25">
      <c r="A422" s="10" t="s">
        <v>49</v>
      </c>
      <c r="B422" s="10" t="s">
        <v>85</v>
      </c>
      <c r="C422" s="10" t="s">
        <v>50</v>
      </c>
      <c r="D422" s="10" t="s">
        <v>80</v>
      </c>
      <c r="E422" s="10">
        <v>3</v>
      </c>
      <c r="F422" s="10">
        <v>1</v>
      </c>
      <c r="G422" s="10">
        <v>0</v>
      </c>
      <c r="H422" s="10">
        <v>0</v>
      </c>
      <c r="I422" s="10">
        <v>1</v>
      </c>
      <c r="J422" s="10">
        <f t="shared" si="24"/>
        <v>1</v>
      </c>
      <c r="K422" s="10">
        <f t="shared" si="25"/>
        <v>1</v>
      </c>
      <c r="L422" s="11" t="str">
        <f t="shared" si="26"/>
        <v>B</v>
      </c>
      <c r="M422" s="10" t="str">
        <f t="shared" si="27"/>
        <v>Desaprobado</v>
      </c>
      <c r="N422" s="14">
        <v>0.25</v>
      </c>
    </row>
    <row r="423" spans="1:14" x14ac:dyDescent="0.25">
      <c r="A423" s="12" t="s">
        <v>51</v>
      </c>
      <c r="B423" s="12" t="s">
        <v>85</v>
      </c>
      <c r="C423" s="12" t="s">
        <v>52</v>
      </c>
      <c r="D423" s="12" t="s">
        <v>80</v>
      </c>
      <c r="E423" s="12">
        <v>1</v>
      </c>
      <c r="F423" s="12">
        <v>1</v>
      </c>
      <c r="G423" s="12">
        <v>1</v>
      </c>
      <c r="H423" s="12">
        <v>1</v>
      </c>
      <c r="I423" s="12">
        <v>3</v>
      </c>
      <c r="J423" s="12">
        <f t="shared" si="24"/>
        <v>1.4</v>
      </c>
      <c r="K423" s="12">
        <f t="shared" si="25"/>
        <v>1</v>
      </c>
      <c r="L423" s="13" t="str">
        <f t="shared" si="26"/>
        <v>B</v>
      </c>
      <c r="M423" s="12" t="str">
        <f t="shared" si="27"/>
        <v>Desaprobado</v>
      </c>
      <c r="N423" s="15">
        <v>0.4</v>
      </c>
    </row>
    <row r="424" spans="1:14" x14ac:dyDescent="0.25">
      <c r="A424" s="10" t="s">
        <v>53</v>
      </c>
      <c r="B424" s="10" t="s">
        <v>85</v>
      </c>
      <c r="C424" s="10" t="s">
        <v>54</v>
      </c>
      <c r="D424" s="10" t="s">
        <v>80</v>
      </c>
      <c r="E424" s="10">
        <v>3</v>
      </c>
      <c r="F424" s="10">
        <v>1</v>
      </c>
      <c r="G424" s="10">
        <v>2</v>
      </c>
      <c r="H424" s="10">
        <v>0</v>
      </c>
      <c r="I424" s="10">
        <v>2</v>
      </c>
      <c r="J424" s="10">
        <f t="shared" si="24"/>
        <v>1.6</v>
      </c>
      <c r="K424" s="10">
        <f t="shared" si="25"/>
        <v>2</v>
      </c>
      <c r="L424" s="11" t="str">
        <f t="shared" si="26"/>
        <v>A</v>
      </c>
      <c r="M424" s="10" t="str">
        <f t="shared" si="27"/>
        <v>Aprobado</v>
      </c>
      <c r="N424" s="14">
        <v>0.4</v>
      </c>
    </row>
    <row r="425" spans="1:14" x14ac:dyDescent="0.25">
      <c r="A425" s="12" t="s">
        <v>55</v>
      </c>
      <c r="B425" s="12" t="s">
        <v>85</v>
      </c>
      <c r="C425" s="12" t="s">
        <v>56</v>
      </c>
      <c r="D425" s="12" t="s">
        <v>80</v>
      </c>
      <c r="E425" s="12">
        <v>0</v>
      </c>
      <c r="F425" s="12">
        <v>0</v>
      </c>
      <c r="G425" s="12">
        <v>3</v>
      </c>
      <c r="H425" s="12">
        <v>2</v>
      </c>
      <c r="I425" s="12">
        <v>3</v>
      </c>
      <c r="J425" s="12">
        <f t="shared" si="24"/>
        <v>1.6</v>
      </c>
      <c r="K425" s="12">
        <f t="shared" si="25"/>
        <v>2</v>
      </c>
      <c r="L425" s="13" t="str">
        <f t="shared" si="26"/>
        <v>A</v>
      </c>
      <c r="M425" s="12" t="str">
        <f t="shared" si="27"/>
        <v>Aprobado</v>
      </c>
      <c r="N425" s="15">
        <v>0.5</v>
      </c>
    </row>
    <row r="426" spans="1:14" x14ac:dyDescent="0.25">
      <c r="A426" s="10" t="s">
        <v>57</v>
      </c>
      <c r="B426" s="10" t="s">
        <v>85</v>
      </c>
      <c r="C426" s="10" t="s">
        <v>58</v>
      </c>
      <c r="D426" s="10" t="s">
        <v>80</v>
      </c>
      <c r="E426" s="10">
        <v>1</v>
      </c>
      <c r="F426" s="10">
        <v>3</v>
      </c>
      <c r="G426" s="10">
        <v>0</v>
      </c>
      <c r="H426" s="10">
        <v>2</v>
      </c>
      <c r="I426" s="10">
        <v>0</v>
      </c>
      <c r="J426" s="10">
        <f t="shared" si="24"/>
        <v>1.2</v>
      </c>
      <c r="K426" s="10">
        <f t="shared" si="25"/>
        <v>1</v>
      </c>
      <c r="L426" s="11" t="str">
        <f t="shared" si="26"/>
        <v>B</v>
      </c>
      <c r="M426" s="10" t="str">
        <f t="shared" si="27"/>
        <v>Desaprobado</v>
      </c>
      <c r="N426" s="14">
        <v>0.7</v>
      </c>
    </row>
    <row r="427" spans="1:14" x14ac:dyDescent="0.25">
      <c r="A427" s="12" t="s">
        <v>59</v>
      </c>
      <c r="B427" s="12" t="s">
        <v>85</v>
      </c>
      <c r="C427" s="12" t="s">
        <v>60</v>
      </c>
      <c r="D427" s="12" t="s">
        <v>80</v>
      </c>
      <c r="E427" s="12">
        <v>3</v>
      </c>
      <c r="F427" s="12">
        <v>3</v>
      </c>
      <c r="G427" s="12">
        <v>3</v>
      </c>
      <c r="H427" s="12">
        <v>1</v>
      </c>
      <c r="I427" s="12">
        <v>0</v>
      </c>
      <c r="J427" s="12">
        <f t="shared" si="24"/>
        <v>2</v>
      </c>
      <c r="K427" s="12">
        <f t="shared" si="25"/>
        <v>2</v>
      </c>
      <c r="L427" s="13" t="str">
        <f t="shared" si="26"/>
        <v>A</v>
      </c>
      <c r="M427" s="12" t="str">
        <f t="shared" si="27"/>
        <v>Aprobado</v>
      </c>
      <c r="N427" s="15">
        <v>0.7</v>
      </c>
    </row>
    <row r="428" spans="1:14" x14ac:dyDescent="0.25">
      <c r="A428" s="10" t="s">
        <v>61</v>
      </c>
      <c r="B428" s="10" t="s">
        <v>85</v>
      </c>
      <c r="C428" s="10" t="s">
        <v>62</v>
      </c>
      <c r="D428" s="10" t="s">
        <v>80</v>
      </c>
      <c r="E428" s="10">
        <v>3</v>
      </c>
      <c r="F428" s="10">
        <v>2</v>
      </c>
      <c r="G428" s="10">
        <v>2</v>
      </c>
      <c r="H428" s="10">
        <v>2</v>
      </c>
      <c r="I428" s="10">
        <v>2</v>
      </c>
      <c r="J428" s="10">
        <f t="shared" si="24"/>
        <v>2.2000000000000002</v>
      </c>
      <c r="K428" s="10">
        <f t="shared" si="25"/>
        <v>2</v>
      </c>
      <c r="L428" s="11" t="str">
        <f t="shared" si="26"/>
        <v>A</v>
      </c>
      <c r="M428" s="10" t="str">
        <f t="shared" si="27"/>
        <v>Aprobado</v>
      </c>
      <c r="N428" s="14">
        <v>0.25</v>
      </c>
    </row>
    <row r="429" spans="1:14" x14ac:dyDescent="0.25">
      <c r="A429" s="12" t="s">
        <v>63</v>
      </c>
      <c r="B429" s="12" t="s">
        <v>85</v>
      </c>
      <c r="C429" s="12" t="s">
        <v>64</v>
      </c>
      <c r="D429" s="12" t="s">
        <v>80</v>
      </c>
      <c r="E429" s="12">
        <v>3</v>
      </c>
      <c r="F429" s="12">
        <v>2</v>
      </c>
      <c r="G429" s="12">
        <v>2</v>
      </c>
      <c r="H429" s="12">
        <v>0</v>
      </c>
      <c r="I429" s="12">
        <v>3</v>
      </c>
      <c r="J429" s="12">
        <f t="shared" si="24"/>
        <v>2</v>
      </c>
      <c r="K429" s="12">
        <f t="shared" si="25"/>
        <v>2</v>
      </c>
      <c r="L429" s="13" t="str">
        <f t="shared" si="26"/>
        <v>A</v>
      </c>
      <c r="M429" s="12" t="str">
        <f t="shared" si="27"/>
        <v>Aprobado</v>
      </c>
      <c r="N429" s="15">
        <v>0.2</v>
      </c>
    </row>
    <row r="430" spans="1:14" x14ac:dyDescent="0.25">
      <c r="A430" s="10" t="s">
        <v>65</v>
      </c>
      <c r="B430" s="10" t="s">
        <v>85</v>
      </c>
      <c r="C430" s="10" t="s">
        <v>66</v>
      </c>
      <c r="D430" s="10" t="s">
        <v>80</v>
      </c>
      <c r="E430" s="10">
        <v>0</v>
      </c>
      <c r="F430" s="10">
        <v>3</v>
      </c>
      <c r="G430" s="10">
        <v>2</v>
      </c>
      <c r="H430" s="10">
        <v>0</v>
      </c>
      <c r="I430" s="10">
        <v>0</v>
      </c>
      <c r="J430" s="10">
        <f t="shared" si="24"/>
        <v>1</v>
      </c>
      <c r="K430" s="10">
        <f t="shared" si="25"/>
        <v>1</v>
      </c>
      <c r="L430" s="11" t="str">
        <f t="shared" si="26"/>
        <v>B</v>
      </c>
      <c r="M430" s="10" t="str">
        <f t="shared" si="27"/>
        <v>Desaprobado</v>
      </c>
      <c r="N430" s="14">
        <v>0.65</v>
      </c>
    </row>
    <row r="431" spans="1:14" x14ac:dyDescent="0.25">
      <c r="A431" s="12" t="s">
        <v>67</v>
      </c>
      <c r="B431" s="12" t="s">
        <v>85</v>
      </c>
      <c r="C431" s="12" t="s">
        <v>68</v>
      </c>
      <c r="D431" s="12" t="s">
        <v>80</v>
      </c>
      <c r="E431" s="12">
        <v>1</v>
      </c>
      <c r="F431" s="12">
        <v>3</v>
      </c>
      <c r="G431" s="12">
        <v>2</v>
      </c>
      <c r="H431" s="12">
        <v>2</v>
      </c>
      <c r="I431" s="12">
        <v>3</v>
      </c>
      <c r="J431" s="12">
        <f t="shared" si="24"/>
        <v>2.2000000000000002</v>
      </c>
      <c r="K431" s="12">
        <f t="shared" si="25"/>
        <v>2</v>
      </c>
      <c r="L431" s="13" t="str">
        <f t="shared" si="26"/>
        <v>A</v>
      </c>
      <c r="M431" s="12" t="str">
        <f t="shared" si="27"/>
        <v>Aprobado</v>
      </c>
      <c r="N431" s="15">
        <v>0.7</v>
      </c>
    </row>
    <row r="432" spans="1:14" x14ac:dyDescent="0.25">
      <c r="A432" s="10" t="s">
        <v>69</v>
      </c>
      <c r="B432" s="10" t="s">
        <v>85</v>
      </c>
      <c r="C432" s="10" t="s">
        <v>70</v>
      </c>
      <c r="D432" s="10" t="s">
        <v>80</v>
      </c>
      <c r="E432" s="10">
        <v>0</v>
      </c>
      <c r="F432" s="10">
        <v>2</v>
      </c>
      <c r="G432" s="10">
        <v>2</v>
      </c>
      <c r="H432" s="10">
        <v>0</v>
      </c>
      <c r="I432" s="10">
        <v>1</v>
      </c>
      <c r="J432" s="10">
        <f t="shared" si="24"/>
        <v>1</v>
      </c>
      <c r="K432" s="10">
        <f t="shared" si="25"/>
        <v>1</v>
      </c>
      <c r="L432" s="11" t="str">
        <f t="shared" si="26"/>
        <v>B</v>
      </c>
      <c r="M432" s="10" t="str">
        <f t="shared" si="27"/>
        <v>Desaprobado</v>
      </c>
      <c r="N432" s="14">
        <v>0.9</v>
      </c>
    </row>
    <row r="433" spans="1:14" x14ac:dyDescent="0.25">
      <c r="A433" s="12" t="s">
        <v>71</v>
      </c>
      <c r="B433" s="12" t="s">
        <v>85</v>
      </c>
      <c r="C433" s="12" t="s">
        <v>72</v>
      </c>
      <c r="D433" s="12" t="s">
        <v>80</v>
      </c>
      <c r="E433" s="12">
        <v>2</v>
      </c>
      <c r="F433" s="12">
        <v>3</v>
      </c>
      <c r="G433" s="12">
        <v>1</v>
      </c>
      <c r="H433" s="12">
        <v>0</v>
      </c>
      <c r="I433" s="12">
        <v>0</v>
      </c>
      <c r="J433" s="12">
        <f t="shared" si="24"/>
        <v>1.2</v>
      </c>
      <c r="K433" s="12">
        <f t="shared" si="25"/>
        <v>1</v>
      </c>
      <c r="L433" s="13" t="str">
        <f t="shared" si="26"/>
        <v>B</v>
      </c>
      <c r="M433" s="12" t="str">
        <f t="shared" si="27"/>
        <v>Desaprobado</v>
      </c>
      <c r="N433" s="15">
        <v>0.7</v>
      </c>
    </row>
    <row r="434" spans="1:14" x14ac:dyDescent="0.25">
      <c r="A434" s="10" t="s">
        <v>73</v>
      </c>
      <c r="B434" s="10" t="s">
        <v>85</v>
      </c>
      <c r="C434" s="10" t="s">
        <v>74</v>
      </c>
      <c r="D434" s="10" t="s">
        <v>80</v>
      </c>
      <c r="E434" s="10">
        <v>1</v>
      </c>
      <c r="F434" s="10">
        <v>3</v>
      </c>
      <c r="G434" s="10">
        <v>3</v>
      </c>
      <c r="H434" s="10">
        <v>0</v>
      </c>
      <c r="I434" s="10">
        <v>0</v>
      </c>
      <c r="J434" s="10">
        <f t="shared" si="24"/>
        <v>1.4</v>
      </c>
      <c r="K434" s="10">
        <f t="shared" si="25"/>
        <v>1</v>
      </c>
      <c r="L434" s="11" t="str">
        <f t="shared" si="26"/>
        <v>B</v>
      </c>
      <c r="M434" s="10" t="str">
        <f t="shared" si="27"/>
        <v>Desaprobado</v>
      </c>
      <c r="N434" s="14">
        <v>0.95</v>
      </c>
    </row>
    <row r="435" spans="1:14" x14ac:dyDescent="0.25">
      <c r="A435" s="12" t="s">
        <v>75</v>
      </c>
      <c r="B435" s="12" t="s">
        <v>85</v>
      </c>
      <c r="C435" s="12" t="s">
        <v>76</v>
      </c>
      <c r="D435" s="12" t="s">
        <v>80</v>
      </c>
      <c r="E435" s="12">
        <v>0</v>
      </c>
      <c r="F435" s="12">
        <v>1</v>
      </c>
      <c r="G435" s="12">
        <v>1</v>
      </c>
      <c r="H435" s="12">
        <v>3</v>
      </c>
      <c r="I435" s="12">
        <v>0</v>
      </c>
      <c r="J435" s="12">
        <f t="shared" si="24"/>
        <v>1</v>
      </c>
      <c r="K435" s="12">
        <f t="shared" si="25"/>
        <v>1</v>
      </c>
      <c r="L435" s="13" t="str">
        <f t="shared" si="26"/>
        <v>B</v>
      </c>
      <c r="M435" s="12" t="str">
        <f t="shared" si="27"/>
        <v>Desaprobado</v>
      </c>
      <c r="N435" s="15">
        <v>0.6</v>
      </c>
    </row>
    <row r="436" spans="1:14" x14ac:dyDescent="0.25">
      <c r="A436" s="10" t="s">
        <v>77</v>
      </c>
      <c r="B436" s="10" t="s">
        <v>85</v>
      </c>
      <c r="C436" s="10" t="s">
        <v>78</v>
      </c>
      <c r="D436" s="10" t="s">
        <v>80</v>
      </c>
      <c r="E436" s="10">
        <v>0</v>
      </c>
      <c r="F436" s="10">
        <v>1</v>
      </c>
      <c r="G436" s="10">
        <v>1</v>
      </c>
      <c r="H436" s="10">
        <v>3</v>
      </c>
      <c r="I436" s="10">
        <v>0</v>
      </c>
      <c r="J436" s="10">
        <f t="shared" si="24"/>
        <v>1</v>
      </c>
      <c r="K436" s="10">
        <f t="shared" si="25"/>
        <v>1</v>
      </c>
      <c r="L436" s="11" t="str">
        <f t="shared" si="26"/>
        <v>B</v>
      </c>
      <c r="M436" s="10" t="str">
        <f t="shared" si="27"/>
        <v>Desaprobado</v>
      </c>
      <c r="N436" s="14">
        <v>0.1</v>
      </c>
    </row>
    <row r="437" spans="1:14" x14ac:dyDescent="0.25">
      <c r="A437" s="12" t="s">
        <v>14</v>
      </c>
      <c r="B437" s="12" t="s">
        <v>85</v>
      </c>
      <c r="C437" s="12" t="s">
        <v>16</v>
      </c>
      <c r="D437" s="12" t="s">
        <v>81</v>
      </c>
      <c r="E437" s="12">
        <v>1</v>
      </c>
      <c r="F437" s="12">
        <v>3</v>
      </c>
      <c r="G437" s="12">
        <v>3</v>
      </c>
      <c r="H437" s="12">
        <v>0</v>
      </c>
      <c r="I437" s="12">
        <v>3</v>
      </c>
      <c r="J437" s="12">
        <f t="shared" si="24"/>
        <v>2</v>
      </c>
      <c r="K437" s="12">
        <f t="shared" si="25"/>
        <v>2</v>
      </c>
      <c r="L437" s="13" t="str">
        <f t="shared" si="26"/>
        <v>A</v>
      </c>
      <c r="M437" s="12" t="str">
        <f t="shared" si="27"/>
        <v>Aprobado</v>
      </c>
      <c r="N437" s="15">
        <v>0.9</v>
      </c>
    </row>
    <row r="438" spans="1:14" x14ac:dyDescent="0.25">
      <c r="A438" s="10" t="s">
        <v>19</v>
      </c>
      <c r="B438" s="10" t="s">
        <v>85</v>
      </c>
      <c r="C438" s="10" t="s">
        <v>20</v>
      </c>
      <c r="D438" s="10" t="s">
        <v>81</v>
      </c>
      <c r="E438" s="10">
        <v>2</v>
      </c>
      <c r="F438" s="10">
        <v>0</v>
      </c>
      <c r="G438" s="10">
        <v>3</v>
      </c>
      <c r="H438" s="10">
        <v>0</v>
      </c>
      <c r="I438" s="10">
        <v>2</v>
      </c>
      <c r="J438" s="10">
        <f t="shared" si="24"/>
        <v>1.4</v>
      </c>
      <c r="K438" s="10">
        <f t="shared" si="25"/>
        <v>1</v>
      </c>
      <c r="L438" s="11" t="str">
        <f t="shared" si="26"/>
        <v>B</v>
      </c>
      <c r="M438" s="10" t="str">
        <f t="shared" si="27"/>
        <v>Desaprobado</v>
      </c>
      <c r="N438" s="14">
        <v>0.95</v>
      </c>
    </row>
    <row r="439" spans="1:14" x14ac:dyDescent="0.25">
      <c r="A439" s="12" t="s">
        <v>22</v>
      </c>
      <c r="B439" s="12" t="s">
        <v>85</v>
      </c>
      <c r="C439" s="12" t="s">
        <v>23</v>
      </c>
      <c r="D439" s="12" t="s">
        <v>81</v>
      </c>
      <c r="E439" s="12">
        <v>2</v>
      </c>
      <c r="F439" s="12">
        <v>1</v>
      </c>
      <c r="G439" s="12">
        <v>1</v>
      </c>
      <c r="H439" s="12">
        <v>3</v>
      </c>
      <c r="I439" s="12">
        <v>1</v>
      </c>
      <c r="J439" s="12">
        <f t="shared" si="24"/>
        <v>1.6</v>
      </c>
      <c r="K439" s="12">
        <f t="shared" si="25"/>
        <v>2</v>
      </c>
      <c r="L439" s="13" t="str">
        <f t="shared" si="26"/>
        <v>A</v>
      </c>
      <c r="M439" s="12" t="str">
        <f t="shared" si="27"/>
        <v>Aprobado</v>
      </c>
      <c r="N439" s="15">
        <v>0.9</v>
      </c>
    </row>
    <row r="440" spans="1:14" x14ac:dyDescent="0.25">
      <c r="A440" s="10" t="s">
        <v>25</v>
      </c>
      <c r="B440" s="10" t="s">
        <v>85</v>
      </c>
      <c r="C440" s="10" t="s">
        <v>26</v>
      </c>
      <c r="D440" s="10" t="s">
        <v>81</v>
      </c>
      <c r="E440" s="10">
        <v>2</v>
      </c>
      <c r="F440" s="10">
        <v>0</v>
      </c>
      <c r="G440" s="10">
        <v>0</v>
      </c>
      <c r="H440" s="10">
        <v>2</v>
      </c>
      <c r="I440" s="10">
        <v>0</v>
      </c>
      <c r="J440" s="10">
        <f t="shared" si="24"/>
        <v>0.8</v>
      </c>
      <c r="K440" s="10">
        <f t="shared" si="25"/>
        <v>1</v>
      </c>
      <c r="L440" s="11" t="str">
        <f t="shared" si="26"/>
        <v>B</v>
      </c>
      <c r="M440" s="10" t="str">
        <f t="shared" si="27"/>
        <v>Desaprobado</v>
      </c>
      <c r="N440" s="14">
        <v>0.2</v>
      </c>
    </row>
    <row r="441" spans="1:14" x14ac:dyDescent="0.25">
      <c r="A441" s="12" t="s">
        <v>28</v>
      </c>
      <c r="B441" s="12" t="s">
        <v>85</v>
      </c>
      <c r="C441" s="12" t="s">
        <v>29</v>
      </c>
      <c r="D441" s="12" t="s">
        <v>81</v>
      </c>
      <c r="E441" s="12">
        <v>0</v>
      </c>
      <c r="F441" s="12">
        <v>3</v>
      </c>
      <c r="G441" s="12">
        <v>0</v>
      </c>
      <c r="H441" s="12">
        <v>0</v>
      </c>
      <c r="I441" s="12">
        <v>1</v>
      </c>
      <c r="J441" s="12">
        <f t="shared" si="24"/>
        <v>0.8</v>
      </c>
      <c r="K441" s="12">
        <f t="shared" si="25"/>
        <v>1</v>
      </c>
      <c r="L441" s="13" t="str">
        <f t="shared" si="26"/>
        <v>B</v>
      </c>
      <c r="M441" s="12" t="str">
        <f t="shared" si="27"/>
        <v>Desaprobado</v>
      </c>
      <c r="N441" s="15">
        <v>0.95</v>
      </c>
    </row>
    <row r="442" spans="1:14" x14ac:dyDescent="0.25">
      <c r="A442" s="10" t="s">
        <v>31</v>
      </c>
      <c r="B442" s="10" t="s">
        <v>85</v>
      </c>
      <c r="C442" s="10" t="s">
        <v>32</v>
      </c>
      <c r="D442" s="10" t="s">
        <v>81</v>
      </c>
      <c r="E442" s="10">
        <v>1</v>
      </c>
      <c r="F442" s="10">
        <v>0</v>
      </c>
      <c r="G442" s="10">
        <v>0</v>
      </c>
      <c r="H442" s="10">
        <v>3</v>
      </c>
      <c r="I442" s="10">
        <v>0</v>
      </c>
      <c r="J442" s="10">
        <f t="shared" si="24"/>
        <v>0.8</v>
      </c>
      <c r="K442" s="10">
        <f t="shared" si="25"/>
        <v>1</v>
      </c>
      <c r="L442" s="11" t="str">
        <f t="shared" si="26"/>
        <v>B</v>
      </c>
      <c r="M442" s="10" t="str">
        <f t="shared" si="27"/>
        <v>Desaprobado</v>
      </c>
      <c r="N442" s="14">
        <v>0.8</v>
      </c>
    </row>
    <row r="443" spans="1:14" x14ac:dyDescent="0.25">
      <c r="A443" s="12" t="s">
        <v>33</v>
      </c>
      <c r="B443" s="12" t="s">
        <v>85</v>
      </c>
      <c r="C443" s="12" t="s">
        <v>34</v>
      </c>
      <c r="D443" s="12" t="s">
        <v>81</v>
      </c>
      <c r="E443" s="12">
        <v>2</v>
      </c>
      <c r="F443" s="12">
        <v>1</v>
      </c>
      <c r="G443" s="12">
        <v>1</v>
      </c>
      <c r="H443" s="12">
        <v>0</v>
      </c>
      <c r="I443" s="12">
        <v>3</v>
      </c>
      <c r="J443" s="12">
        <f t="shared" si="24"/>
        <v>1.4</v>
      </c>
      <c r="K443" s="12">
        <f t="shared" si="25"/>
        <v>1</v>
      </c>
      <c r="L443" s="13" t="str">
        <f t="shared" si="26"/>
        <v>B</v>
      </c>
      <c r="M443" s="12" t="str">
        <f t="shared" si="27"/>
        <v>Desaprobado</v>
      </c>
      <c r="N443" s="15">
        <v>0.25</v>
      </c>
    </row>
    <row r="444" spans="1:14" x14ac:dyDescent="0.25">
      <c r="A444" s="10" t="s">
        <v>35</v>
      </c>
      <c r="B444" s="10" t="s">
        <v>85</v>
      </c>
      <c r="C444" s="10" t="s">
        <v>36</v>
      </c>
      <c r="D444" s="10" t="s">
        <v>81</v>
      </c>
      <c r="E444" s="10">
        <v>1</v>
      </c>
      <c r="F444" s="10">
        <v>3</v>
      </c>
      <c r="G444" s="10">
        <v>0</v>
      </c>
      <c r="H444" s="10">
        <v>3</v>
      </c>
      <c r="I444" s="10">
        <v>2</v>
      </c>
      <c r="J444" s="10">
        <f t="shared" si="24"/>
        <v>1.8</v>
      </c>
      <c r="K444" s="10">
        <f t="shared" si="25"/>
        <v>2</v>
      </c>
      <c r="L444" s="11" t="str">
        <f t="shared" si="26"/>
        <v>A</v>
      </c>
      <c r="M444" s="10" t="str">
        <f t="shared" si="27"/>
        <v>Aprobado</v>
      </c>
      <c r="N444" s="14">
        <v>0.4</v>
      </c>
    </row>
    <row r="445" spans="1:14" x14ac:dyDescent="0.25">
      <c r="A445" s="12" t="s">
        <v>37</v>
      </c>
      <c r="B445" s="12" t="s">
        <v>85</v>
      </c>
      <c r="C445" s="12" t="s">
        <v>38</v>
      </c>
      <c r="D445" s="12" t="s">
        <v>81</v>
      </c>
      <c r="E445" s="12">
        <v>3</v>
      </c>
      <c r="F445" s="12">
        <v>3</v>
      </c>
      <c r="G445" s="12">
        <v>1</v>
      </c>
      <c r="H445" s="12">
        <v>2</v>
      </c>
      <c r="I445" s="12">
        <v>2</v>
      </c>
      <c r="J445" s="12">
        <f t="shared" si="24"/>
        <v>2.2000000000000002</v>
      </c>
      <c r="K445" s="12">
        <f t="shared" si="25"/>
        <v>2</v>
      </c>
      <c r="L445" s="13" t="str">
        <f t="shared" si="26"/>
        <v>A</v>
      </c>
      <c r="M445" s="12" t="str">
        <f t="shared" si="27"/>
        <v>Aprobado</v>
      </c>
      <c r="N445" s="15">
        <v>0.4</v>
      </c>
    </row>
    <row r="446" spans="1:14" x14ac:dyDescent="0.25">
      <c r="A446" s="10" t="s">
        <v>39</v>
      </c>
      <c r="B446" s="10" t="s">
        <v>85</v>
      </c>
      <c r="C446" s="10" t="s">
        <v>40</v>
      </c>
      <c r="D446" s="10" t="s">
        <v>81</v>
      </c>
      <c r="E446" s="10">
        <v>2</v>
      </c>
      <c r="F446" s="10">
        <v>3</v>
      </c>
      <c r="G446" s="10">
        <v>2</v>
      </c>
      <c r="H446" s="10">
        <v>1</v>
      </c>
      <c r="I446" s="10">
        <v>1</v>
      </c>
      <c r="J446" s="10">
        <f t="shared" si="24"/>
        <v>1.8</v>
      </c>
      <c r="K446" s="10">
        <f t="shared" si="25"/>
        <v>2</v>
      </c>
      <c r="L446" s="11" t="str">
        <f t="shared" si="26"/>
        <v>A</v>
      </c>
      <c r="M446" s="10" t="str">
        <f t="shared" si="27"/>
        <v>Aprobado</v>
      </c>
      <c r="N446" s="14">
        <v>0.5</v>
      </c>
    </row>
    <row r="447" spans="1:14" x14ac:dyDescent="0.25">
      <c r="A447" s="12" t="s">
        <v>41</v>
      </c>
      <c r="B447" s="12" t="s">
        <v>85</v>
      </c>
      <c r="C447" s="12" t="s">
        <v>42</v>
      </c>
      <c r="D447" s="12" t="s">
        <v>81</v>
      </c>
      <c r="E447" s="12">
        <v>3</v>
      </c>
      <c r="F447" s="12">
        <v>1</v>
      </c>
      <c r="G447" s="12">
        <v>1</v>
      </c>
      <c r="H447" s="12">
        <v>3</v>
      </c>
      <c r="I447" s="12">
        <v>1</v>
      </c>
      <c r="J447" s="12">
        <f t="shared" si="24"/>
        <v>1.8</v>
      </c>
      <c r="K447" s="12">
        <f t="shared" si="25"/>
        <v>2</v>
      </c>
      <c r="L447" s="13" t="str">
        <f t="shared" si="26"/>
        <v>A</v>
      </c>
      <c r="M447" s="12" t="str">
        <f t="shared" si="27"/>
        <v>Aprobado</v>
      </c>
      <c r="N447" s="15">
        <v>0.7</v>
      </c>
    </row>
    <row r="448" spans="1:14" x14ac:dyDescent="0.25">
      <c r="A448" s="10" t="s">
        <v>43</v>
      </c>
      <c r="B448" s="10" t="s">
        <v>85</v>
      </c>
      <c r="C448" s="10" t="s">
        <v>44</v>
      </c>
      <c r="D448" s="10" t="s">
        <v>81</v>
      </c>
      <c r="E448" s="10">
        <v>0</v>
      </c>
      <c r="F448" s="10">
        <v>3</v>
      </c>
      <c r="G448" s="10">
        <v>3</v>
      </c>
      <c r="H448" s="10">
        <v>3</v>
      </c>
      <c r="I448" s="10">
        <v>0</v>
      </c>
      <c r="J448" s="10">
        <f t="shared" si="24"/>
        <v>1.8</v>
      </c>
      <c r="K448" s="10">
        <f t="shared" si="25"/>
        <v>2</v>
      </c>
      <c r="L448" s="11" t="str">
        <f t="shared" si="26"/>
        <v>A</v>
      </c>
      <c r="M448" s="10" t="str">
        <f t="shared" si="27"/>
        <v>Aprobado</v>
      </c>
      <c r="N448" s="14">
        <v>0.7</v>
      </c>
    </row>
    <row r="449" spans="1:14" x14ac:dyDescent="0.25">
      <c r="A449" s="12" t="s">
        <v>45</v>
      </c>
      <c r="B449" s="12" t="s">
        <v>85</v>
      </c>
      <c r="C449" s="12" t="s">
        <v>46</v>
      </c>
      <c r="D449" s="12" t="s">
        <v>81</v>
      </c>
      <c r="E449" s="12">
        <v>1</v>
      </c>
      <c r="F449" s="12">
        <v>1</v>
      </c>
      <c r="G449" s="12">
        <v>0</v>
      </c>
      <c r="H449" s="12">
        <v>2</v>
      </c>
      <c r="I449" s="12">
        <v>1</v>
      </c>
      <c r="J449" s="12">
        <f t="shared" si="24"/>
        <v>1</v>
      </c>
      <c r="K449" s="12">
        <f t="shared" si="25"/>
        <v>1</v>
      </c>
      <c r="L449" s="13" t="str">
        <f t="shared" si="26"/>
        <v>B</v>
      </c>
      <c r="M449" s="12" t="str">
        <f t="shared" si="27"/>
        <v>Desaprobado</v>
      </c>
      <c r="N449" s="15">
        <v>0.25</v>
      </c>
    </row>
    <row r="450" spans="1:14" x14ac:dyDescent="0.25">
      <c r="A450" s="10" t="s">
        <v>47</v>
      </c>
      <c r="B450" s="10" t="s">
        <v>85</v>
      </c>
      <c r="C450" s="10" t="s">
        <v>48</v>
      </c>
      <c r="D450" s="10" t="s">
        <v>81</v>
      </c>
      <c r="E450" s="10">
        <v>1</v>
      </c>
      <c r="F450" s="10">
        <v>1</v>
      </c>
      <c r="G450" s="10">
        <v>3</v>
      </c>
      <c r="H450" s="10">
        <v>0</v>
      </c>
      <c r="I450" s="10">
        <v>1</v>
      </c>
      <c r="J450" s="10">
        <f t="shared" si="24"/>
        <v>1.2</v>
      </c>
      <c r="K450" s="10">
        <f t="shared" si="25"/>
        <v>1</v>
      </c>
      <c r="L450" s="11" t="str">
        <f t="shared" si="26"/>
        <v>B</v>
      </c>
      <c r="M450" s="10" t="str">
        <f t="shared" si="27"/>
        <v>Desaprobado</v>
      </c>
      <c r="N450" s="14">
        <v>0.2</v>
      </c>
    </row>
    <row r="451" spans="1:14" x14ac:dyDescent="0.25">
      <c r="A451" s="12" t="s">
        <v>49</v>
      </c>
      <c r="B451" s="12" t="s">
        <v>85</v>
      </c>
      <c r="C451" s="12" t="s">
        <v>50</v>
      </c>
      <c r="D451" s="12" t="s">
        <v>81</v>
      </c>
      <c r="E451" s="12">
        <v>0</v>
      </c>
      <c r="F451" s="12">
        <v>1</v>
      </c>
      <c r="G451" s="12">
        <v>3</v>
      </c>
      <c r="H451" s="12">
        <v>0</v>
      </c>
      <c r="I451" s="12">
        <v>0</v>
      </c>
      <c r="J451" s="12">
        <f t="shared" ref="J451:J514" si="28">+AVERAGE(E451:I451)</f>
        <v>0.8</v>
      </c>
      <c r="K451" s="12">
        <f t="shared" ref="K451:K514" si="29">+ROUND(J451,0)</f>
        <v>1</v>
      </c>
      <c r="L451" s="13" t="str">
        <f t="shared" ref="L451:L514" si="30">+_xlfn.XLOOKUP(K451,$R$3:$R$6,$S$3:$S$6)</f>
        <v>B</v>
      </c>
      <c r="M451" s="12" t="str">
        <f t="shared" ref="M451:M514" si="31">+IF(OR(L451="AD",L451="A"),"Aprobado","Desaprobado")</f>
        <v>Desaprobado</v>
      </c>
      <c r="N451" s="15">
        <v>0.65</v>
      </c>
    </row>
    <row r="452" spans="1:14" x14ac:dyDescent="0.25">
      <c r="A452" s="10" t="s">
        <v>51</v>
      </c>
      <c r="B452" s="10" t="s">
        <v>85</v>
      </c>
      <c r="C452" s="10" t="s">
        <v>52</v>
      </c>
      <c r="D452" s="10" t="s">
        <v>81</v>
      </c>
      <c r="E452" s="10">
        <v>0</v>
      </c>
      <c r="F452" s="10">
        <v>1</v>
      </c>
      <c r="G452" s="10">
        <v>0</v>
      </c>
      <c r="H452" s="10">
        <v>2</v>
      </c>
      <c r="I452" s="10">
        <v>2</v>
      </c>
      <c r="J452" s="10">
        <f t="shared" si="28"/>
        <v>1</v>
      </c>
      <c r="K452" s="10">
        <f t="shared" si="29"/>
        <v>1</v>
      </c>
      <c r="L452" s="11" t="str">
        <f t="shared" si="30"/>
        <v>B</v>
      </c>
      <c r="M452" s="10" t="str">
        <f t="shared" si="31"/>
        <v>Desaprobado</v>
      </c>
      <c r="N452" s="14">
        <v>0.7</v>
      </c>
    </row>
    <row r="453" spans="1:14" x14ac:dyDescent="0.25">
      <c r="A453" s="12" t="s">
        <v>53</v>
      </c>
      <c r="B453" s="12" t="s">
        <v>85</v>
      </c>
      <c r="C453" s="12" t="s">
        <v>54</v>
      </c>
      <c r="D453" s="12" t="s">
        <v>81</v>
      </c>
      <c r="E453" s="12">
        <v>0</v>
      </c>
      <c r="F453" s="12">
        <v>3</v>
      </c>
      <c r="G453" s="12">
        <v>2</v>
      </c>
      <c r="H453" s="12">
        <v>2</v>
      </c>
      <c r="I453" s="12">
        <v>2</v>
      </c>
      <c r="J453" s="12">
        <f t="shared" si="28"/>
        <v>1.8</v>
      </c>
      <c r="K453" s="12">
        <f t="shared" si="29"/>
        <v>2</v>
      </c>
      <c r="L453" s="13" t="str">
        <f t="shared" si="30"/>
        <v>A</v>
      </c>
      <c r="M453" s="12" t="str">
        <f t="shared" si="31"/>
        <v>Aprobado</v>
      </c>
      <c r="N453" s="15">
        <v>0.9</v>
      </c>
    </row>
    <row r="454" spans="1:14" x14ac:dyDescent="0.25">
      <c r="A454" s="10" t="s">
        <v>55</v>
      </c>
      <c r="B454" s="10" t="s">
        <v>85</v>
      </c>
      <c r="C454" s="10" t="s">
        <v>56</v>
      </c>
      <c r="D454" s="10" t="s">
        <v>81</v>
      </c>
      <c r="E454" s="10">
        <v>3</v>
      </c>
      <c r="F454" s="10">
        <v>0</v>
      </c>
      <c r="G454" s="10">
        <v>2</v>
      </c>
      <c r="H454" s="10">
        <v>1</v>
      </c>
      <c r="I454" s="10">
        <v>2</v>
      </c>
      <c r="J454" s="10">
        <f t="shared" si="28"/>
        <v>1.6</v>
      </c>
      <c r="K454" s="10">
        <f t="shared" si="29"/>
        <v>2</v>
      </c>
      <c r="L454" s="11" t="str">
        <f t="shared" si="30"/>
        <v>A</v>
      </c>
      <c r="M454" s="10" t="str">
        <f t="shared" si="31"/>
        <v>Aprobado</v>
      </c>
      <c r="N454" s="14">
        <v>0.7</v>
      </c>
    </row>
    <row r="455" spans="1:14" x14ac:dyDescent="0.25">
      <c r="A455" s="12" t="s">
        <v>57</v>
      </c>
      <c r="B455" s="12" t="s">
        <v>85</v>
      </c>
      <c r="C455" s="12" t="s">
        <v>58</v>
      </c>
      <c r="D455" s="12" t="s">
        <v>81</v>
      </c>
      <c r="E455" s="12">
        <v>2</v>
      </c>
      <c r="F455" s="12">
        <v>0</v>
      </c>
      <c r="G455" s="12">
        <v>2</v>
      </c>
      <c r="H455" s="12">
        <v>3</v>
      </c>
      <c r="I455" s="12">
        <v>2</v>
      </c>
      <c r="J455" s="12">
        <f t="shared" si="28"/>
        <v>1.8</v>
      </c>
      <c r="K455" s="12">
        <f t="shared" si="29"/>
        <v>2</v>
      </c>
      <c r="L455" s="13" t="str">
        <f t="shared" si="30"/>
        <v>A</v>
      </c>
      <c r="M455" s="12" t="str">
        <f t="shared" si="31"/>
        <v>Aprobado</v>
      </c>
      <c r="N455" s="15">
        <v>0.95</v>
      </c>
    </row>
    <row r="456" spans="1:14" x14ac:dyDescent="0.25">
      <c r="A456" s="10" t="s">
        <v>59</v>
      </c>
      <c r="B456" s="10" t="s">
        <v>85</v>
      </c>
      <c r="C456" s="10" t="s">
        <v>60</v>
      </c>
      <c r="D456" s="10" t="s">
        <v>81</v>
      </c>
      <c r="E456" s="10">
        <v>2</v>
      </c>
      <c r="F456" s="10">
        <v>0</v>
      </c>
      <c r="G456" s="10">
        <v>3</v>
      </c>
      <c r="H456" s="10">
        <v>0</v>
      </c>
      <c r="I456" s="10">
        <v>3</v>
      </c>
      <c r="J456" s="10">
        <f t="shared" si="28"/>
        <v>1.6</v>
      </c>
      <c r="K456" s="10">
        <f t="shared" si="29"/>
        <v>2</v>
      </c>
      <c r="L456" s="11" t="str">
        <f t="shared" si="30"/>
        <v>A</v>
      </c>
      <c r="M456" s="10" t="str">
        <f t="shared" si="31"/>
        <v>Aprobado</v>
      </c>
      <c r="N456" s="14">
        <v>0.6</v>
      </c>
    </row>
    <row r="457" spans="1:14" x14ac:dyDescent="0.25">
      <c r="A457" s="12" t="s">
        <v>61</v>
      </c>
      <c r="B457" s="12" t="s">
        <v>85</v>
      </c>
      <c r="C457" s="12" t="s">
        <v>62</v>
      </c>
      <c r="D457" s="12" t="s">
        <v>81</v>
      </c>
      <c r="E457" s="12">
        <v>3</v>
      </c>
      <c r="F457" s="12">
        <v>1</v>
      </c>
      <c r="G457" s="12">
        <v>1</v>
      </c>
      <c r="H457" s="12">
        <v>2</v>
      </c>
      <c r="I457" s="12">
        <v>2</v>
      </c>
      <c r="J457" s="12">
        <f t="shared" si="28"/>
        <v>1.8</v>
      </c>
      <c r="K457" s="12">
        <f t="shared" si="29"/>
        <v>2</v>
      </c>
      <c r="L457" s="13" t="str">
        <f t="shared" si="30"/>
        <v>A</v>
      </c>
      <c r="M457" s="12" t="str">
        <f t="shared" si="31"/>
        <v>Aprobado</v>
      </c>
      <c r="N457" s="15">
        <v>0.1</v>
      </c>
    </row>
    <row r="458" spans="1:14" x14ac:dyDescent="0.25">
      <c r="A458" s="10" t="s">
        <v>63</v>
      </c>
      <c r="B458" s="10" t="s">
        <v>85</v>
      </c>
      <c r="C458" s="10" t="s">
        <v>64</v>
      </c>
      <c r="D458" s="10" t="s">
        <v>81</v>
      </c>
      <c r="E458" s="10">
        <v>3</v>
      </c>
      <c r="F458" s="10">
        <v>0</v>
      </c>
      <c r="G458" s="10">
        <v>0</v>
      </c>
      <c r="H458" s="10">
        <v>1</v>
      </c>
      <c r="I458" s="10">
        <v>3</v>
      </c>
      <c r="J458" s="10">
        <f t="shared" si="28"/>
        <v>1.4</v>
      </c>
      <c r="K458" s="10">
        <f t="shared" si="29"/>
        <v>1</v>
      </c>
      <c r="L458" s="11" t="str">
        <f t="shared" si="30"/>
        <v>B</v>
      </c>
      <c r="M458" s="10" t="str">
        <f t="shared" si="31"/>
        <v>Desaprobado</v>
      </c>
      <c r="N458" s="14">
        <v>0.9</v>
      </c>
    </row>
    <row r="459" spans="1:14" x14ac:dyDescent="0.25">
      <c r="A459" s="12" t="s">
        <v>65</v>
      </c>
      <c r="B459" s="12" t="s">
        <v>85</v>
      </c>
      <c r="C459" s="12" t="s">
        <v>66</v>
      </c>
      <c r="D459" s="12" t="s">
        <v>81</v>
      </c>
      <c r="E459" s="12">
        <v>2</v>
      </c>
      <c r="F459" s="12">
        <v>0</v>
      </c>
      <c r="G459" s="12">
        <v>2</v>
      </c>
      <c r="H459" s="12">
        <v>0</v>
      </c>
      <c r="I459" s="12">
        <v>2</v>
      </c>
      <c r="J459" s="12">
        <f t="shared" si="28"/>
        <v>1.2</v>
      </c>
      <c r="K459" s="12">
        <f t="shared" si="29"/>
        <v>1</v>
      </c>
      <c r="L459" s="13" t="str">
        <f t="shared" si="30"/>
        <v>B</v>
      </c>
      <c r="M459" s="12" t="str">
        <f t="shared" si="31"/>
        <v>Desaprobado</v>
      </c>
      <c r="N459" s="15">
        <v>0.95</v>
      </c>
    </row>
    <row r="460" spans="1:14" x14ac:dyDescent="0.25">
      <c r="A460" s="10" t="s">
        <v>67</v>
      </c>
      <c r="B460" s="10" t="s">
        <v>85</v>
      </c>
      <c r="C460" s="10" t="s">
        <v>68</v>
      </c>
      <c r="D460" s="10" t="s">
        <v>81</v>
      </c>
      <c r="E460" s="10">
        <v>2</v>
      </c>
      <c r="F460" s="10">
        <v>3</v>
      </c>
      <c r="G460" s="10">
        <v>2</v>
      </c>
      <c r="H460" s="10">
        <v>1</v>
      </c>
      <c r="I460" s="10">
        <v>3</v>
      </c>
      <c r="J460" s="10">
        <f t="shared" si="28"/>
        <v>2.2000000000000002</v>
      </c>
      <c r="K460" s="10">
        <f t="shared" si="29"/>
        <v>2</v>
      </c>
      <c r="L460" s="11" t="str">
        <f t="shared" si="30"/>
        <v>A</v>
      </c>
      <c r="M460" s="10" t="str">
        <f t="shared" si="31"/>
        <v>Aprobado</v>
      </c>
      <c r="N460" s="14">
        <v>0.45</v>
      </c>
    </row>
    <row r="461" spans="1:14" x14ac:dyDescent="0.25">
      <c r="A461" s="12" t="s">
        <v>69</v>
      </c>
      <c r="B461" s="12" t="s">
        <v>85</v>
      </c>
      <c r="C461" s="12" t="s">
        <v>70</v>
      </c>
      <c r="D461" s="12" t="s">
        <v>81</v>
      </c>
      <c r="E461" s="12">
        <v>0</v>
      </c>
      <c r="F461" s="12">
        <v>1</v>
      </c>
      <c r="G461" s="12">
        <v>2</v>
      </c>
      <c r="H461" s="12">
        <v>3</v>
      </c>
      <c r="I461" s="12">
        <v>0</v>
      </c>
      <c r="J461" s="12">
        <f t="shared" si="28"/>
        <v>1.2</v>
      </c>
      <c r="K461" s="12">
        <f t="shared" si="29"/>
        <v>1</v>
      </c>
      <c r="L461" s="13" t="str">
        <f t="shared" si="30"/>
        <v>B</v>
      </c>
      <c r="M461" s="12" t="str">
        <f t="shared" si="31"/>
        <v>Desaprobado</v>
      </c>
      <c r="N461" s="15">
        <v>0.2</v>
      </c>
    </row>
    <row r="462" spans="1:14" x14ac:dyDescent="0.25">
      <c r="A462" s="10" t="s">
        <v>71</v>
      </c>
      <c r="B462" s="10" t="s">
        <v>85</v>
      </c>
      <c r="C462" s="10" t="s">
        <v>72</v>
      </c>
      <c r="D462" s="10" t="s">
        <v>81</v>
      </c>
      <c r="E462" s="10">
        <v>3</v>
      </c>
      <c r="F462" s="10">
        <v>1</v>
      </c>
      <c r="G462" s="10">
        <v>1</v>
      </c>
      <c r="H462" s="10">
        <v>1</v>
      </c>
      <c r="I462" s="10">
        <v>1</v>
      </c>
      <c r="J462" s="10">
        <f t="shared" si="28"/>
        <v>1.4</v>
      </c>
      <c r="K462" s="10">
        <f t="shared" si="29"/>
        <v>1</v>
      </c>
      <c r="L462" s="11" t="str">
        <f t="shared" si="30"/>
        <v>B</v>
      </c>
      <c r="M462" s="10" t="str">
        <f t="shared" si="31"/>
        <v>Desaprobado</v>
      </c>
      <c r="N462" s="14">
        <v>0.95</v>
      </c>
    </row>
    <row r="463" spans="1:14" x14ac:dyDescent="0.25">
      <c r="A463" s="12" t="s">
        <v>73</v>
      </c>
      <c r="B463" s="12" t="s">
        <v>85</v>
      </c>
      <c r="C463" s="12" t="s">
        <v>74</v>
      </c>
      <c r="D463" s="12" t="s">
        <v>81</v>
      </c>
      <c r="E463" s="12">
        <v>0</v>
      </c>
      <c r="F463" s="12">
        <v>1</v>
      </c>
      <c r="G463" s="12">
        <v>3</v>
      </c>
      <c r="H463" s="12">
        <v>3</v>
      </c>
      <c r="I463" s="12">
        <v>0</v>
      </c>
      <c r="J463" s="12">
        <f t="shared" si="28"/>
        <v>1.4</v>
      </c>
      <c r="K463" s="12">
        <f t="shared" si="29"/>
        <v>1</v>
      </c>
      <c r="L463" s="13" t="str">
        <f t="shared" si="30"/>
        <v>B</v>
      </c>
      <c r="M463" s="12" t="str">
        <f t="shared" si="31"/>
        <v>Desaprobado</v>
      </c>
      <c r="N463" s="15">
        <v>0.8</v>
      </c>
    </row>
    <row r="464" spans="1:14" x14ac:dyDescent="0.25">
      <c r="A464" s="10" t="s">
        <v>75</v>
      </c>
      <c r="B464" s="10" t="s">
        <v>85</v>
      </c>
      <c r="C464" s="10" t="s">
        <v>76</v>
      </c>
      <c r="D464" s="10" t="s">
        <v>81</v>
      </c>
      <c r="E464" s="10">
        <v>0</v>
      </c>
      <c r="F464" s="10">
        <v>3</v>
      </c>
      <c r="G464" s="10">
        <v>3</v>
      </c>
      <c r="H464" s="10">
        <v>2</v>
      </c>
      <c r="I464" s="10">
        <v>3</v>
      </c>
      <c r="J464" s="10">
        <f t="shared" si="28"/>
        <v>2.2000000000000002</v>
      </c>
      <c r="K464" s="10">
        <f t="shared" si="29"/>
        <v>2</v>
      </c>
      <c r="L464" s="11" t="str">
        <f t="shared" si="30"/>
        <v>A</v>
      </c>
      <c r="M464" s="10" t="str">
        <f t="shared" si="31"/>
        <v>Aprobado</v>
      </c>
      <c r="N464" s="14">
        <v>0.25</v>
      </c>
    </row>
    <row r="465" spans="1:14" x14ac:dyDescent="0.25">
      <c r="A465" s="12" t="s">
        <v>77</v>
      </c>
      <c r="B465" s="12" t="s">
        <v>85</v>
      </c>
      <c r="C465" s="12" t="s">
        <v>78</v>
      </c>
      <c r="D465" s="12" t="s">
        <v>81</v>
      </c>
      <c r="E465" s="12">
        <v>0</v>
      </c>
      <c r="F465" s="12">
        <v>1</v>
      </c>
      <c r="G465" s="12">
        <v>3</v>
      </c>
      <c r="H465" s="12">
        <v>1</v>
      </c>
      <c r="I465" s="12">
        <v>3</v>
      </c>
      <c r="J465" s="12">
        <f t="shared" si="28"/>
        <v>1.6</v>
      </c>
      <c r="K465" s="12">
        <f t="shared" si="29"/>
        <v>2</v>
      </c>
      <c r="L465" s="13" t="str">
        <f t="shared" si="30"/>
        <v>A</v>
      </c>
      <c r="M465" s="12" t="str">
        <f t="shared" si="31"/>
        <v>Aprobado</v>
      </c>
      <c r="N465" s="15">
        <v>0.4</v>
      </c>
    </row>
    <row r="466" spans="1:14" x14ac:dyDescent="0.25">
      <c r="A466" s="10" t="s">
        <v>14</v>
      </c>
      <c r="B466" s="10" t="s">
        <v>85</v>
      </c>
      <c r="C466" s="10" t="s">
        <v>16</v>
      </c>
      <c r="D466" s="10" t="s">
        <v>82</v>
      </c>
      <c r="E466" s="10">
        <v>2</v>
      </c>
      <c r="F466" s="10">
        <v>0</v>
      </c>
      <c r="G466" s="10">
        <v>3</v>
      </c>
      <c r="H466" s="10">
        <v>1</v>
      </c>
      <c r="I466" s="10">
        <v>0</v>
      </c>
      <c r="J466" s="10">
        <f t="shared" si="28"/>
        <v>1.2</v>
      </c>
      <c r="K466" s="10">
        <f t="shared" si="29"/>
        <v>1</v>
      </c>
      <c r="L466" s="11" t="str">
        <f t="shared" si="30"/>
        <v>B</v>
      </c>
      <c r="M466" s="10" t="str">
        <f t="shared" si="31"/>
        <v>Desaprobado</v>
      </c>
      <c r="N466" s="14">
        <v>0.4</v>
      </c>
    </row>
    <row r="467" spans="1:14" x14ac:dyDescent="0.25">
      <c r="A467" s="12" t="s">
        <v>19</v>
      </c>
      <c r="B467" s="12" t="s">
        <v>85</v>
      </c>
      <c r="C467" s="12" t="s">
        <v>20</v>
      </c>
      <c r="D467" s="12" t="s">
        <v>82</v>
      </c>
      <c r="E467" s="12">
        <v>2</v>
      </c>
      <c r="F467" s="12">
        <v>3</v>
      </c>
      <c r="G467" s="12">
        <v>1</v>
      </c>
      <c r="H467" s="12">
        <v>1</v>
      </c>
      <c r="I467" s="12">
        <v>1</v>
      </c>
      <c r="J467" s="12">
        <f t="shared" si="28"/>
        <v>1.6</v>
      </c>
      <c r="K467" s="12">
        <f t="shared" si="29"/>
        <v>2</v>
      </c>
      <c r="L467" s="13" t="str">
        <f t="shared" si="30"/>
        <v>A</v>
      </c>
      <c r="M467" s="12" t="str">
        <f t="shared" si="31"/>
        <v>Aprobado</v>
      </c>
      <c r="N467" s="15">
        <v>0.5</v>
      </c>
    </row>
    <row r="468" spans="1:14" x14ac:dyDescent="0.25">
      <c r="A468" s="10" t="s">
        <v>22</v>
      </c>
      <c r="B468" s="10" t="s">
        <v>85</v>
      </c>
      <c r="C468" s="10" t="s">
        <v>23</v>
      </c>
      <c r="D468" s="10" t="s">
        <v>82</v>
      </c>
      <c r="E468" s="10">
        <v>3</v>
      </c>
      <c r="F468" s="10">
        <v>1</v>
      </c>
      <c r="G468" s="10">
        <v>0</v>
      </c>
      <c r="H468" s="10">
        <v>2</v>
      </c>
      <c r="I468" s="10">
        <v>0</v>
      </c>
      <c r="J468" s="10">
        <f t="shared" si="28"/>
        <v>1.2</v>
      </c>
      <c r="K468" s="10">
        <f t="shared" si="29"/>
        <v>1</v>
      </c>
      <c r="L468" s="11" t="str">
        <f t="shared" si="30"/>
        <v>B</v>
      </c>
      <c r="M468" s="10" t="str">
        <f t="shared" si="31"/>
        <v>Desaprobado</v>
      </c>
      <c r="N468" s="14">
        <v>0.7</v>
      </c>
    </row>
    <row r="469" spans="1:14" x14ac:dyDescent="0.25">
      <c r="A469" s="12" t="s">
        <v>25</v>
      </c>
      <c r="B469" s="12" t="s">
        <v>85</v>
      </c>
      <c r="C469" s="12" t="s">
        <v>26</v>
      </c>
      <c r="D469" s="12" t="s">
        <v>82</v>
      </c>
      <c r="E469" s="12">
        <v>1</v>
      </c>
      <c r="F469" s="12">
        <v>0</v>
      </c>
      <c r="G469" s="12">
        <v>2</v>
      </c>
      <c r="H469" s="12">
        <v>1</v>
      </c>
      <c r="I469" s="12">
        <v>0</v>
      </c>
      <c r="J469" s="12">
        <f t="shared" si="28"/>
        <v>0.8</v>
      </c>
      <c r="K469" s="12">
        <f t="shared" si="29"/>
        <v>1</v>
      </c>
      <c r="L469" s="13" t="str">
        <f t="shared" si="30"/>
        <v>B</v>
      </c>
      <c r="M469" s="12" t="str">
        <f t="shared" si="31"/>
        <v>Desaprobado</v>
      </c>
      <c r="N469" s="15">
        <v>0.7</v>
      </c>
    </row>
    <row r="470" spans="1:14" x14ac:dyDescent="0.25">
      <c r="A470" s="10" t="s">
        <v>28</v>
      </c>
      <c r="B470" s="10" t="s">
        <v>85</v>
      </c>
      <c r="C470" s="10" t="s">
        <v>29</v>
      </c>
      <c r="D470" s="10" t="s">
        <v>82</v>
      </c>
      <c r="E470" s="10">
        <v>0</v>
      </c>
      <c r="F470" s="10">
        <v>0</v>
      </c>
      <c r="G470" s="10">
        <v>2</v>
      </c>
      <c r="H470" s="10">
        <v>1</v>
      </c>
      <c r="I470" s="10">
        <v>2</v>
      </c>
      <c r="J470" s="10">
        <f t="shared" si="28"/>
        <v>1</v>
      </c>
      <c r="K470" s="10">
        <f t="shared" si="29"/>
        <v>1</v>
      </c>
      <c r="L470" s="11" t="str">
        <f t="shared" si="30"/>
        <v>B</v>
      </c>
      <c r="M470" s="10" t="str">
        <f t="shared" si="31"/>
        <v>Desaprobado</v>
      </c>
      <c r="N470" s="14">
        <v>0.25</v>
      </c>
    </row>
    <row r="471" spans="1:14" x14ac:dyDescent="0.25">
      <c r="A471" s="12" t="s">
        <v>31</v>
      </c>
      <c r="B471" s="12" t="s">
        <v>85</v>
      </c>
      <c r="C471" s="12" t="s">
        <v>32</v>
      </c>
      <c r="D471" s="12" t="s">
        <v>82</v>
      </c>
      <c r="E471" s="12">
        <v>3</v>
      </c>
      <c r="F471" s="12">
        <v>3</v>
      </c>
      <c r="G471" s="12">
        <v>2</v>
      </c>
      <c r="H471" s="12">
        <v>2</v>
      </c>
      <c r="I471" s="12">
        <v>2</v>
      </c>
      <c r="J471" s="12">
        <f t="shared" si="28"/>
        <v>2.4</v>
      </c>
      <c r="K471" s="12">
        <f t="shared" si="29"/>
        <v>2</v>
      </c>
      <c r="L471" s="13" t="str">
        <f t="shared" si="30"/>
        <v>A</v>
      </c>
      <c r="M471" s="12" t="str">
        <f t="shared" si="31"/>
        <v>Aprobado</v>
      </c>
      <c r="N471" s="15">
        <v>0.2</v>
      </c>
    </row>
    <row r="472" spans="1:14" x14ac:dyDescent="0.25">
      <c r="A472" s="10" t="s">
        <v>33</v>
      </c>
      <c r="B472" s="10" t="s">
        <v>85</v>
      </c>
      <c r="C472" s="10" t="s">
        <v>34</v>
      </c>
      <c r="D472" s="10" t="s">
        <v>82</v>
      </c>
      <c r="E472" s="10">
        <v>1</v>
      </c>
      <c r="F472" s="10">
        <v>2</v>
      </c>
      <c r="G472" s="10">
        <v>3</v>
      </c>
      <c r="H472" s="10">
        <v>3</v>
      </c>
      <c r="I472" s="10">
        <v>1</v>
      </c>
      <c r="J472" s="10">
        <f t="shared" si="28"/>
        <v>2</v>
      </c>
      <c r="K472" s="10">
        <f t="shared" si="29"/>
        <v>2</v>
      </c>
      <c r="L472" s="11" t="str">
        <f t="shared" si="30"/>
        <v>A</v>
      </c>
      <c r="M472" s="10" t="str">
        <f t="shared" si="31"/>
        <v>Aprobado</v>
      </c>
      <c r="N472" s="14">
        <v>0.65</v>
      </c>
    </row>
    <row r="473" spans="1:14" x14ac:dyDescent="0.25">
      <c r="A473" s="12" t="s">
        <v>35</v>
      </c>
      <c r="B473" s="12" t="s">
        <v>85</v>
      </c>
      <c r="C473" s="12" t="s">
        <v>36</v>
      </c>
      <c r="D473" s="12" t="s">
        <v>82</v>
      </c>
      <c r="E473" s="12">
        <v>0</v>
      </c>
      <c r="F473" s="12">
        <v>3</v>
      </c>
      <c r="G473" s="12">
        <v>3</v>
      </c>
      <c r="H473" s="12">
        <v>2</v>
      </c>
      <c r="I473" s="12">
        <v>1</v>
      </c>
      <c r="J473" s="12">
        <f t="shared" si="28"/>
        <v>1.8</v>
      </c>
      <c r="K473" s="12">
        <f t="shared" si="29"/>
        <v>2</v>
      </c>
      <c r="L473" s="13" t="str">
        <f t="shared" si="30"/>
        <v>A</v>
      </c>
      <c r="M473" s="12" t="str">
        <f t="shared" si="31"/>
        <v>Aprobado</v>
      </c>
      <c r="N473" s="15">
        <v>0.7</v>
      </c>
    </row>
    <row r="474" spans="1:14" x14ac:dyDescent="0.25">
      <c r="A474" s="10" t="s">
        <v>37</v>
      </c>
      <c r="B474" s="10" t="s">
        <v>85</v>
      </c>
      <c r="C474" s="10" t="s">
        <v>38</v>
      </c>
      <c r="D474" s="10" t="s">
        <v>82</v>
      </c>
      <c r="E474" s="10">
        <v>1</v>
      </c>
      <c r="F474" s="10">
        <v>0</v>
      </c>
      <c r="G474" s="10">
        <v>2</v>
      </c>
      <c r="H474" s="10">
        <v>3</v>
      </c>
      <c r="I474" s="10">
        <v>3</v>
      </c>
      <c r="J474" s="10">
        <f t="shared" si="28"/>
        <v>1.8</v>
      </c>
      <c r="K474" s="10">
        <f t="shared" si="29"/>
        <v>2</v>
      </c>
      <c r="L474" s="11" t="str">
        <f t="shared" si="30"/>
        <v>A</v>
      </c>
      <c r="M474" s="10" t="str">
        <f t="shared" si="31"/>
        <v>Aprobado</v>
      </c>
      <c r="N474" s="14">
        <v>0.9</v>
      </c>
    </row>
    <row r="475" spans="1:14" x14ac:dyDescent="0.25">
      <c r="A475" s="12" t="s">
        <v>39</v>
      </c>
      <c r="B475" s="12" t="s">
        <v>85</v>
      </c>
      <c r="C475" s="12" t="s">
        <v>40</v>
      </c>
      <c r="D475" s="12" t="s">
        <v>82</v>
      </c>
      <c r="E475" s="12">
        <v>2</v>
      </c>
      <c r="F475" s="12">
        <v>3</v>
      </c>
      <c r="G475" s="12">
        <v>3</v>
      </c>
      <c r="H475" s="12">
        <v>3</v>
      </c>
      <c r="I475" s="12">
        <v>0</v>
      </c>
      <c r="J475" s="12">
        <f t="shared" si="28"/>
        <v>2.2000000000000002</v>
      </c>
      <c r="K475" s="12">
        <f t="shared" si="29"/>
        <v>2</v>
      </c>
      <c r="L475" s="13" t="str">
        <f t="shared" si="30"/>
        <v>A</v>
      </c>
      <c r="M475" s="12" t="str">
        <f t="shared" si="31"/>
        <v>Aprobado</v>
      </c>
      <c r="N475" s="15">
        <v>0.7</v>
      </c>
    </row>
    <row r="476" spans="1:14" x14ac:dyDescent="0.25">
      <c r="A476" s="10" t="s">
        <v>41</v>
      </c>
      <c r="B476" s="10" t="s">
        <v>85</v>
      </c>
      <c r="C476" s="10" t="s">
        <v>42</v>
      </c>
      <c r="D476" s="10" t="s">
        <v>82</v>
      </c>
      <c r="E476" s="10">
        <v>0</v>
      </c>
      <c r="F476" s="10">
        <v>2</v>
      </c>
      <c r="G476" s="10">
        <v>3</v>
      </c>
      <c r="H476" s="10">
        <v>1</v>
      </c>
      <c r="I476" s="10">
        <v>3</v>
      </c>
      <c r="J476" s="10">
        <f t="shared" si="28"/>
        <v>1.8</v>
      </c>
      <c r="K476" s="10">
        <f t="shared" si="29"/>
        <v>2</v>
      </c>
      <c r="L476" s="11" t="str">
        <f t="shared" si="30"/>
        <v>A</v>
      </c>
      <c r="M476" s="10" t="str">
        <f t="shared" si="31"/>
        <v>Aprobado</v>
      </c>
      <c r="N476" s="14">
        <v>0.95</v>
      </c>
    </row>
    <row r="477" spans="1:14" x14ac:dyDescent="0.25">
      <c r="A477" s="12" t="s">
        <v>43</v>
      </c>
      <c r="B477" s="12" t="s">
        <v>85</v>
      </c>
      <c r="C477" s="12" t="s">
        <v>44</v>
      </c>
      <c r="D477" s="12" t="s">
        <v>82</v>
      </c>
      <c r="E477" s="12">
        <v>1</v>
      </c>
      <c r="F477" s="12">
        <v>1</v>
      </c>
      <c r="G477" s="12">
        <v>2</v>
      </c>
      <c r="H477" s="12">
        <v>1</v>
      </c>
      <c r="I477" s="12">
        <v>0</v>
      </c>
      <c r="J477" s="12">
        <f t="shared" si="28"/>
        <v>1</v>
      </c>
      <c r="K477" s="12">
        <f t="shared" si="29"/>
        <v>1</v>
      </c>
      <c r="L477" s="13" t="str">
        <f t="shared" si="30"/>
        <v>B</v>
      </c>
      <c r="M477" s="12" t="str">
        <f t="shared" si="31"/>
        <v>Desaprobado</v>
      </c>
      <c r="N477" s="15">
        <v>0.6</v>
      </c>
    </row>
    <row r="478" spans="1:14" x14ac:dyDescent="0.25">
      <c r="A478" s="10" t="s">
        <v>45</v>
      </c>
      <c r="B478" s="10" t="s">
        <v>85</v>
      </c>
      <c r="C478" s="10" t="s">
        <v>46</v>
      </c>
      <c r="D478" s="10" t="s">
        <v>82</v>
      </c>
      <c r="E478" s="10">
        <v>1</v>
      </c>
      <c r="F478" s="10">
        <v>1</v>
      </c>
      <c r="G478" s="10">
        <v>1</v>
      </c>
      <c r="H478" s="10">
        <v>1</v>
      </c>
      <c r="I478" s="10">
        <v>0</v>
      </c>
      <c r="J478" s="10">
        <f t="shared" si="28"/>
        <v>0.8</v>
      </c>
      <c r="K478" s="10">
        <f t="shared" si="29"/>
        <v>1</v>
      </c>
      <c r="L478" s="11" t="str">
        <f t="shared" si="30"/>
        <v>B</v>
      </c>
      <c r="M478" s="10" t="str">
        <f t="shared" si="31"/>
        <v>Desaprobado</v>
      </c>
      <c r="N478" s="14">
        <v>0.1</v>
      </c>
    </row>
    <row r="479" spans="1:14" x14ac:dyDescent="0.25">
      <c r="A479" s="12" t="s">
        <v>47</v>
      </c>
      <c r="B479" s="12" t="s">
        <v>85</v>
      </c>
      <c r="C479" s="12" t="s">
        <v>48</v>
      </c>
      <c r="D479" s="12" t="s">
        <v>82</v>
      </c>
      <c r="E479" s="12">
        <v>0</v>
      </c>
      <c r="F479" s="12">
        <v>0</v>
      </c>
      <c r="G479" s="12">
        <v>2</v>
      </c>
      <c r="H479" s="12">
        <v>3</v>
      </c>
      <c r="I479" s="12">
        <v>0</v>
      </c>
      <c r="J479" s="12">
        <f t="shared" si="28"/>
        <v>1</v>
      </c>
      <c r="K479" s="12">
        <f t="shared" si="29"/>
        <v>1</v>
      </c>
      <c r="L479" s="13" t="str">
        <f t="shared" si="30"/>
        <v>B</v>
      </c>
      <c r="M479" s="12" t="str">
        <f t="shared" si="31"/>
        <v>Desaprobado</v>
      </c>
      <c r="N479" s="15">
        <v>0.9</v>
      </c>
    </row>
    <row r="480" spans="1:14" x14ac:dyDescent="0.25">
      <c r="A480" s="10" t="s">
        <v>49</v>
      </c>
      <c r="B480" s="10" t="s">
        <v>85</v>
      </c>
      <c r="C480" s="10" t="s">
        <v>50</v>
      </c>
      <c r="D480" s="10" t="s">
        <v>82</v>
      </c>
      <c r="E480" s="10">
        <v>3</v>
      </c>
      <c r="F480" s="10">
        <v>0</v>
      </c>
      <c r="G480" s="10">
        <v>2</v>
      </c>
      <c r="H480" s="10">
        <v>1</v>
      </c>
      <c r="I480" s="10">
        <v>1</v>
      </c>
      <c r="J480" s="10">
        <f t="shared" si="28"/>
        <v>1.4</v>
      </c>
      <c r="K480" s="10">
        <f t="shared" si="29"/>
        <v>1</v>
      </c>
      <c r="L480" s="11" t="str">
        <f t="shared" si="30"/>
        <v>B</v>
      </c>
      <c r="M480" s="10" t="str">
        <f t="shared" si="31"/>
        <v>Desaprobado</v>
      </c>
      <c r="N480" s="14">
        <v>0.95</v>
      </c>
    </row>
    <row r="481" spans="1:14" x14ac:dyDescent="0.25">
      <c r="A481" s="12" t="s">
        <v>51</v>
      </c>
      <c r="B481" s="12" t="s">
        <v>85</v>
      </c>
      <c r="C481" s="12" t="s">
        <v>52</v>
      </c>
      <c r="D481" s="12" t="s">
        <v>82</v>
      </c>
      <c r="E481" s="12">
        <v>3</v>
      </c>
      <c r="F481" s="12">
        <v>2</v>
      </c>
      <c r="G481" s="12">
        <v>0</v>
      </c>
      <c r="H481" s="12">
        <v>0</v>
      </c>
      <c r="I481" s="12">
        <v>3</v>
      </c>
      <c r="J481" s="12">
        <f t="shared" si="28"/>
        <v>1.6</v>
      </c>
      <c r="K481" s="12">
        <f t="shared" si="29"/>
        <v>2</v>
      </c>
      <c r="L481" s="13" t="str">
        <f t="shared" si="30"/>
        <v>A</v>
      </c>
      <c r="M481" s="12" t="str">
        <f t="shared" si="31"/>
        <v>Aprobado</v>
      </c>
      <c r="N481" s="15">
        <v>0.8</v>
      </c>
    </row>
    <row r="482" spans="1:14" x14ac:dyDescent="0.25">
      <c r="A482" s="10" t="s">
        <v>53</v>
      </c>
      <c r="B482" s="10" t="s">
        <v>85</v>
      </c>
      <c r="C482" s="10" t="s">
        <v>54</v>
      </c>
      <c r="D482" s="10" t="s">
        <v>82</v>
      </c>
      <c r="E482" s="10">
        <v>0</v>
      </c>
      <c r="F482" s="10">
        <v>0</v>
      </c>
      <c r="G482" s="10">
        <v>2</v>
      </c>
      <c r="H482" s="10">
        <v>2</v>
      </c>
      <c r="I482" s="10">
        <v>3</v>
      </c>
      <c r="J482" s="10">
        <f t="shared" si="28"/>
        <v>1.4</v>
      </c>
      <c r="K482" s="10">
        <f t="shared" si="29"/>
        <v>1</v>
      </c>
      <c r="L482" s="11" t="str">
        <f t="shared" si="30"/>
        <v>B</v>
      </c>
      <c r="M482" s="10" t="str">
        <f t="shared" si="31"/>
        <v>Desaprobado</v>
      </c>
      <c r="N482" s="14">
        <v>0.2</v>
      </c>
    </row>
    <row r="483" spans="1:14" x14ac:dyDescent="0.25">
      <c r="A483" s="12" t="s">
        <v>55</v>
      </c>
      <c r="B483" s="12" t="s">
        <v>85</v>
      </c>
      <c r="C483" s="12" t="s">
        <v>56</v>
      </c>
      <c r="D483" s="12" t="s">
        <v>82</v>
      </c>
      <c r="E483" s="12">
        <v>1</v>
      </c>
      <c r="F483" s="12">
        <v>3</v>
      </c>
      <c r="G483" s="12">
        <v>1</v>
      </c>
      <c r="H483" s="12">
        <v>0</v>
      </c>
      <c r="I483" s="12">
        <v>2</v>
      </c>
      <c r="J483" s="12">
        <f t="shared" si="28"/>
        <v>1.4</v>
      </c>
      <c r="K483" s="12">
        <f t="shared" si="29"/>
        <v>1</v>
      </c>
      <c r="L483" s="13" t="str">
        <f t="shared" si="30"/>
        <v>B</v>
      </c>
      <c r="M483" s="12" t="str">
        <f t="shared" si="31"/>
        <v>Desaprobado</v>
      </c>
      <c r="N483" s="15">
        <v>0.95</v>
      </c>
    </row>
    <row r="484" spans="1:14" x14ac:dyDescent="0.25">
      <c r="A484" s="10" t="s">
        <v>57</v>
      </c>
      <c r="B484" s="10" t="s">
        <v>85</v>
      </c>
      <c r="C484" s="10" t="s">
        <v>58</v>
      </c>
      <c r="D484" s="10" t="s">
        <v>82</v>
      </c>
      <c r="E484" s="10">
        <v>0</v>
      </c>
      <c r="F484" s="10">
        <v>2</v>
      </c>
      <c r="G484" s="10">
        <v>3</v>
      </c>
      <c r="H484" s="10">
        <v>0</v>
      </c>
      <c r="I484" s="10">
        <v>1</v>
      </c>
      <c r="J484" s="10">
        <f t="shared" si="28"/>
        <v>1.2</v>
      </c>
      <c r="K484" s="10">
        <f t="shared" si="29"/>
        <v>1</v>
      </c>
      <c r="L484" s="11" t="str">
        <f t="shared" si="30"/>
        <v>B</v>
      </c>
      <c r="M484" s="10" t="str">
        <f t="shared" si="31"/>
        <v>Desaprobado</v>
      </c>
      <c r="N484" s="14">
        <v>0.8</v>
      </c>
    </row>
    <row r="485" spans="1:14" x14ac:dyDescent="0.25">
      <c r="A485" s="12" t="s">
        <v>59</v>
      </c>
      <c r="B485" s="12" t="s">
        <v>85</v>
      </c>
      <c r="C485" s="12" t="s">
        <v>60</v>
      </c>
      <c r="D485" s="12" t="s">
        <v>82</v>
      </c>
      <c r="E485" s="12">
        <v>1</v>
      </c>
      <c r="F485" s="12">
        <v>2</v>
      </c>
      <c r="G485" s="12">
        <v>1</v>
      </c>
      <c r="H485" s="12">
        <v>3</v>
      </c>
      <c r="I485" s="12">
        <v>3</v>
      </c>
      <c r="J485" s="12">
        <f t="shared" si="28"/>
        <v>2</v>
      </c>
      <c r="K485" s="12">
        <f t="shared" si="29"/>
        <v>2</v>
      </c>
      <c r="L485" s="13" t="str">
        <f t="shared" si="30"/>
        <v>A</v>
      </c>
      <c r="M485" s="12" t="str">
        <f t="shared" si="31"/>
        <v>Aprobado</v>
      </c>
      <c r="N485" s="15">
        <v>0.25</v>
      </c>
    </row>
    <row r="486" spans="1:14" x14ac:dyDescent="0.25">
      <c r="A486" s="10" t="s">
        <v>61</v>
      </c>
      <c r="B486" s="10" t="s">
        <v>85</v>
      </c>
      <c r="C486" s="10" t="s">
        <v>62</v>
      </c>
      <c r="D486" s="10" t="s">
        <v>82</v>
      </c>
      <c r="E486" s="10">
        <v>2</v>
      </c>
      <c r="F486" s="10">
        <v>1</v>
      </c>
      <c r="G486" s="10">
        <v>0</v>
      </c>
      <c r="H486" s="10">
        <v>2</v>
      </c>
      <c r="I486" s="10">
        <v>1</v>
      </c>
      <c r="J486" s="10">
        <f t="shared" si="28"/>
        <v>1.2</v>
      </c>
      <c r="K486" s="10">
        <f t="shared" si="29"/>
        <v>1</v>
      </c>
      <c r="L486" s="11" t="str">
        <f t="shared" si="30"/>
        <v>B</v>
      </c>
      <c r="M486" s="10" t="str">
        <f t="shared" si="31"/>
        <v>Desaprobado</v>
      </c>
      <c r="N486" s="14">
        <v>0.4</v>
      </c>
    </row>
    <row r="487" spans="1:14" x14ac:dyDescent="0.25">
      <c r="A487" s="12" t="s">
        <v>63</v>
      </c>
      <c r="B487" s="12" t="s">
        <v>85</v>
      </c>
      <c r="C487" s="12" t="s">
        <v>64</v>
      </c>
      <c r="D487" s="12" t="s">
        <v>82</v>
      </c>
      <c r="E487" s="12">
        <v>1</v>
      </c>
      <c r="F487" s="12">
        <v>0</v>
      </c>
      <c r="G487" s="12">
        <v>2</v>
      </c>
      <c r="H487" s="12">
        <v>2</v>
      </c>
      <c r="I487" s="12">
        <v>1</v>
      </c>
      <c r="J487" s="12">
        <f t="shared" si="28"/>
        <v>1.2</v>
      </c>
      <c r="K487" s="12">
        <f t="shared" si="29"/>
        <v>1</v>
      </c>
      <c r="L487" s="13" t="str">
        <f t="shared" si="30"/>
        <v>B</v>
      </c>
      <c r="M487" s="12" t="str">
        <f t="shared" si="31"/>
        <v>Desaprobado</v>
      </c>
      <c r="N487" s="15">
        <v>0.4</v>
      </c>
    </row>
    <row r="488" spans="1:14" x14ac:dyDescent="0.25">
      <c r="A488" s="10" t="s">
        <v>65</v>
      </c>
      <c r="B488" s="10" t="s">
        <v>85</v>
      </c>
      <c r="C488" s="10" t="s">
        <v>66</v>
      </c>
      <c r="D488" s="10" t="s">
        <v>82</v>
      </c>
      <c r="E488" s="10">
        <v>2</v>
      </c>
      <c r="F488" s="10">
        <v>1</v>
      </c>
      <c r="G488" s="10">
        <v>0</v>
      </c>
      <c r="H488" s="10">
        <v>1</v>
      </c>
      <c r="I488" s="10">
        <v>0</v>
      </c>
      <c r="J488" s="10">
        <f t="shared" si="28"/>
        <v>0.8</v>
      </c>
      <c r="K488" s="10">
        <f t="shared" si="29"/>
        <v>1</v>
      </c>
      <c r="L488" s="11" t="str">
        <f t="shared" si="30"/>
        <v>B</v>
      </c>
      <c r="M488" s="10" t="str">
        <f t="shared" si="31"/>
        <v>Desaprobado</v>
      </c>
      <c r="N488" s="14">
        <v>0.5</v>
      </c>
    </row>
    <row r="489" spans="1:14" x14ac:dyDescent="0.25">
      <c r="A489" s="12" t="s">
        <v>67</v>
      </c>
      <c r="B489" s="12" t="s">
        <v>85</v>
      </c>
      <c r="C489" s="12" t="s">
        <v>68</v>
      </c>
      <c r="D489" s="12" t="s">
        <v>82</v>
      </c>
      <c r="E489" s="12">
        <v>3</v>
      </c>
      <c r="F489" s="12">
        <v>2</v>
      </c>
      <c r="G489" s="12">
        <v>0</v>
      </c>
      <c r="H489" s="12">
        <v>1</v>
      </c>
      <c r="I489" s="12">
        <v>0</v>
      </c>
      <c r="J489" s="12">
        <f t="shared" si="28"/>
        <v>1.2</v>
      </c>
      <c r="K489" s="12">
        <f t="shared" si="29"/>
        <v>1</v>
      </c>
      <c r="L489" s="13" t="str">
        <f t="shared" si="30"/>
        <v>B</v>
      </c>
      <c r="M489" s="12" t="str">
        <f t="shared" si="31"/>
        <v>Desaprobado</v>
      </c>
      <c r="N489" s="15">
        <v>0.7</v>
      </c>
    </row>
    <row r="490" spans="1:14" x14ac:dyDescent="0.25">
      <c r="A490" s="10" t="s">
        <v>69</v>
      </c>
      <c r="B490" s="10" t="s">
        <v>85</v>
      </c>
      <c r="C490" s="10" t="s">
        <v>70</v>
      </c>
      <c r="D490" s="10" t="s">
        <v>82</v>
      </c>
      <c r="E490" s="10">
        <v>3</v>
      </c>
      <c r="F490" s="10">
        <v>0</v>
      </c>
      <c r="G490" s="10">
        <v>3</v>
      </c>
      <c r="H490" s="10">
        <v>1</v>
      </c>
      <c r="I490" s="10">
        <v>0</v>
      </c>
      <c r="J490" s="10">
        <f t="shared" si="28"/>
        <v>1.4</v>
      </c>
      <c r="K490" s="10">
        <f t="shared" si="29"/>
        <v>1</v>
      </c>
      <c r="L490" s="11" t="str">
        <f t="shared" si="30"/>
        <v>B</v>
      </c>
      <c r="M490" s="10" t="str">
        <f t="shared" si="31"/>
        <v>Desaprobado</v>
      </c>
      <c r="N490" s="14">
        <v>0.7</v>
      </c>
    </row>
    <row r="491" spans="1:14" x14ac:dyDescent="0.25">
      <c r="A491" s="12" t="s">
        <v>71</v>
      </c>
      <c r="B491" s="12" t="s">
        <v>85</v>
      </c>
      <c r="C491" s="12" t="s">
        <v>72</v>
      </c>
      <c r="D491" s="12" t="s">
        <v>82</v>
      </c>
      <c r="E491" s="12">
        <v>3</v>
      </c>
      <c r="F491" s="12">
        <v>2</v>
      </c>
      <c r="G491" s="12">
        <v>1</v>
      </c>
      <c r="H491" s="12">
        <v>0</v>
      </c>
      <c r="I491" s="12">
        <v>1</v>
      </c>
      <c r="J491" s="12">
        <f t="shared" si="28"/>
        <v>1.4</v>
      </c>
      <c r="K491" s="12">
        <f t="shared" si="29"/>
        <v>1</v>
      </c>
      <c r="L491" s="13" t="str">
        <f t="shared" si="30"/>
        <v>B</v>
      </c>
      <c r="M491" s="12" t="str">
        <f t="shared" si="31"/>
        <v>Desaprobado</v>
      </c>
      <c r="N491" s="15">
        <v>0.25</v>
      </c>
    </row>
    <row r="492" spans="1:14" x14ac:dyDescent="0.25">
      <c r="A492" s="10" t="s">
        <v>73</v>
      </c>
      <c r="B492" s="10" t="s">
        <v>85</v>
      </c>
      <c r="C492" s="10" t="s">
        <v>74</v>
      </c>
      <c r="D492" s="10" t="s">
        <v>82</v>
      </c>
      <c r="E492" s="10">
        <v>0</v>
      </c>
      <c r="F492" s="10">
        <v>3</v>
      </c>
      <c r="G492" s="10">
        <v>1</v>
      </c>
      <c r="H492" s="10">
        <v>2</v>
      </c>
      <c r="I492" s="10">
        <v>2</v>
      </c>
      <c r="J492" s="10">
        <f t="shared" si="28"/>
        <v>1.6</v>
      </c>
      <c r="K492" s="10">
        <f t="shared" si="29"/>
        <v>2</v>
      </c>
      <c r="L492" s="11" t="str">
        <f t="shared" si="30"/>
        <v>A</v>
      </c>
      <c r="M492" s="10" t="str">
        <f t="shared" si="31"/>
        <v>Aprobado</v>
      </c>
      <c r="N492" s="14">
        <v>0.2</v>
      </c>
    </row>
    <row r="493" spans="1:14" x14ac:dyDescent="0.25">
      <c r="A493" s="12" t="s">
        <v>75</v>
      </c>
      <c r="B493" s="12" t="s">
        <v>85</v>
      </c>
      <c r="C493" s="12" t="s">
        <v>76</v>
      </c>
      <c r="D493" s="12" t="s">
        <v>82</v>
      </c>
      <c r="E493" s="12">
        <v>0</v>
      </c>
      <c r="F493" s="12">
        <v>3</v>
      </c>
      <c r="G493" s="12">
        <v>2</v>
      </c>
      <c r="H493" s="12">
        <v>3</v>
      </c>
      <c r="I493" s="12">
        <v>2</v>
      </c>
      <c r="J493" s="12">
        <f t="shared" si="28"/>
        <v>2</v>
      </c>
      <c r="K493" s="12">
        <f t="shared" si="29"/>
        <v>2</v>
      </c>
      <c r="L493" s="13" t="str">
        <f t="shared" si="30"/>
        <v>A</v>
      </c>
      <c r="M493" s="12" t="str">
        <f t="shared" si="31"/>
        <v>Aprobado</v>
      </c>
      <c r="N493" s="15">
        <v>0.65</v>
      </c>
    </row>
    <row r="494" spans="1:14" x14ac:dyDescent="0.25">
      <c r="A494" s="10" t="s">
        <v>77</v>
      </c>
      <c r="B494" s="10" t="s">
        <v>85</v>
      </c>
      <c r="C494" s="10" t="s">
        <v>78</v>
      </c>
      <c r="D494" s="10" t="s">
        <v>82</v>
      </c>
      <c r="E494" s="10">
        <v>3</v>
      </c>
      <c r="F494" s="10">
        <v>1</v>
      </c>
      <c r="G494" s="10">
        <v>1</v>
      </c>
      <c r="H494" s="10">
        <v>0</v>
      </c>
      <c r="I494" s="10">
        <v>1</v>
      </c>
      <c r="J494" s="10">
        <f t="shared" si="28"/>
        <v>1.2</v>
      </c>
      <c r="K494" s="10">
        <f t="shared" si="29"/>
        <v>1</v>
      </c>
      <c r="L494" s="11" t="str">
        <f t="shared" si="30"/>
        <v>B</v>
      </c>
      <c r="M494" s="10" t="str">
        <f t="shared" si="31"/>
        <v>Desaprobado</v>
      </c>
      <c r="N494" s="14">
        <v>0.7</v>
      </c>
    </row>
    <row r="495" spans="1:14" x14ac:dyDescent="0.25">
      <c r="A495" s="12" t="s">
        <v>14</v>
      </c>
      <c r="B495" s="12" t="s">
        <v>85</v>
      </c>
      <c r="C495" s="12" t="s">
        <v>16</v>
      </c>
      <c r="D495" s="12" t="s">
        <v>83</v>
      </c>
      <c r="E495" s="12">
        <v>0</v>
      </c>
      <c r="F495" s="12">
        <v>3</v>
      </c>
      <c r="G495" s="12">
        <v>2</v>
      </c>
      <c r="H495" s="12">
        <v>3</v>
      </c>
      <c r="I495" s="12">
        <v>1</v>
      </c>
      <c r="J495" s="12">
        <f t="shared" si="28"/>
        <v>1.8</v>
      </c>
      <c r="K495" s="12">
        <f t="shared" si="29"/>
        <v>2</v>
      </c>
      <c r="L495" s="13" t="str">
        <f t="shared" si="30"/>
        <v>A</v>
      </c>
      <c r="M495" s="12" t="str">
        <f t="shared" si="31"/>
        <v>Aprobado</v>
      </c>
      <c r="N495" s="15">
        <v>0.9</v>
      </c>
    </row>
    <row r="496" spans="1:14" x14ac:dyDescent="0.25">
      <c r="A496" s="10" t="s">
        <v>19</v>
      </c>
      <c r="B496" s="10" t="s">
        <v>85</v>
      </c>
      <c r="C496" s="10" t="s">
        <v>20</v>
      </c>
      <c r="D496" s="10" t="s">
        <v>83</v>
      </c>
      <c r="E496" s="10">
        <v>3</v>
      </c>
      <c r="F496" s="10">
        <v>2</v>
      </c>
      <c r="G496" s="10">
        <v>3</v>
      </c>
      <c r="H496" s="10">
        <v>2</v>
      </c>
      <c r="I496" s="10">
        <v>3</v>
      </c>
      <c r="J496" s="10">
        <f t="shared" si="28"/>
        <v>2.6</v>
      </c>
      <c r="K496" s="10">
        <f t="shared" si="29"/>
        <v>3</v>
      </c>
      <c r="L496" s="11" t="str">
        <f t="shared" si="30"/>
        <v>AD</v>
      </c>
      <c r="M496" s="10" t="str">
        <f t="shared" si="31"/>
        <v>Aprobado</v>
      </c>
      <c r="N496" s="14">
        <v>0.7</v>
      </c>
    </row>
    <row r="497" spans="1:14" x14ac:dyDescent="0.25">
      <c r="A497" s="12" t="s">
        <v>22</v>
      </c>
      <c r="B497" s="12" t="s">
        <v>85</v>
      </c>
      <c r="C497" s="12" t="s">
        <v>23</v>
      </c>
      <c r="D497" s="12" t="s">
        <v>83</v>
      </c>
      <c r="E497" s="12">
        <v>1</v>
      </c>
      <c r="F497" s="12">
        <v>2</v>
      </c>
      <c r="G497" s="12">
        <v>2</v>
      </c>
      <c r="H497" s="12">
        <v>1</v>
      </c>
      <c r="I497" s="12">
        <v>2</v>
      </c>
      <c r="J497" s="12">
        <f t="shared" si="28"/>
        <v>1.6</v>
      </c>
      <c r="K497" s="12">
        <f t="shared" si="29"/>
        <v>2</v>
      </c>
      <c r="L497" s="13" t="str">
        <f t="shared" si="30"/>
        <v>A</v>
      </c>
      <c r="M497" s="12" t="str">
        <f t="shared" si="31"/>
        <v>Aprobado</v>
      </c>
      <c r="N497" s="15">
        <v>0.95</v>
      </c>
    </row>
    <row r="498" spans="1:14" x14ac:dyDescent="0.25">
      <c r="A498" s="10" t="s">
        <v>25</v>
      </c>
      <c r="B498" s="10" t="s">
        <v>85</v>
      </c>
      <c r="C498" s="10" t="s">
        <v>26</v>
      </c>
      <c r="D498" s="10" t="s">
        <v>83</v>
      </c>
      <c r="E498" s="10">
        <v>0</v>
      </c>
      <c r="F498" s="10">
        <v>3</v>
      </c>
      <c r="G498" s="10">
        <v>2</v>
      </c>
      <c r="H498" s="10">
        <v>2</v>
      </c>
      <c r="I498" s="10">
        <v>0</v>
      </c>
      <c r="J498" s="10">
        <f t="shared" si="28"/>
        <v>1.4</v>
      </c>
      <c r="K498" s="10">
        <f t="shared" si="29"/>
        <v>1</v>
      </c>
      <c r="L498" s="11" t="str">
        <f t="shared" si="30"/>
        <v>B</v>
      </c>
      <c r="M498" s="10" t="str">
        <f t="shared" si="31"/>
        <v>Desaprobado</v>
      </c>
      <c r="N498" s="14">
        <v>0.6</v>
      </c>
    </row>
    <row r="499" spans="1:14" x14ac:dyDescent="0.25">
      <c r="A499" s="12" t="s">
        <v>28</v>
      </c>
      <c r="B499" s="12" t="s">
        <v>85</v>
      </c>
      <c r="C499" s="12" t="s">
        <v>29</v>
      </c>
      <c r="D499" s="12" t="s">
        <v>83</v>
      </c>
      <c r="E499" s="12">
        <v>2</v>
      </c>
      <c r="F499" s="12">
        <v>1</v>
      </c>
      <c r="G499" s="12">
        <v>3</v>
      </c>
      <c r="H499" s="12">
        <v>3</v>
      </c>
      <c r="I499" s="12">
        <v>0</v>
      </c>
      <c r="J499" s="12">
        <f t="shared" si="28"/>
        <v>1.8</v>
      </c>
      <c r="K499" s="12">
        <f t="shared" si="29"/>
        <v>2</v>
      </c>
      <c r="L499" s="13" t="str">
        <f t="shared" si="30"/>
        <v>A</v>
      </c>
      <c r="M499" s="12" t="str">
        <f t="shared" si="31"/>
        <v>Aprobado</v>
      </c>
      <c r="N499" s="15">
        <v>0.1</v>
      </c>
    </row>
    <row r="500" spans="1:14" x14ac:dyDescent="0.25">
      <c r="A500" s="10" t="s">
        <v>31</v>
      </c>
      <c r="B500" s="10" t="s">
        <v>85</v>
      </c>
      <c r="C500" s="10" t="s">
        <v>32</v>
      </c>
      <c r="D500" s="10" t="s">
        <v>83</v>
      </c>
      <c r="E500" s="10">
        <v>1</v>
      </c>
      <c r="F500" s="10">
        <v>0</v>
      </c>
      <c r="G500" s="10">
        <v>2</v>
      </c>
      <c r="H500" s="10">
        <v>3</v>
      </c>
      <c r="I500" s="10">
        <v>0</v>
      </c>
      <c r="J500" s="10">
        <f t="shared" si="28"/>
        <v>1.2</v>
      </c>
      <c r="K500" s="10">
        <f t="shared" si="29"/>
        <v>1</v>
      </c>
      <c r="L500" s="11" t="str">
        <f t="shared" si="30"/>
        <v>B</v>
      </c>
      <c r="M500" s="10" t="str">
        <f t="shared" si="31"/>
        <v>Desaprobado</v>
      </c>
      <c r="N500" s="14">
        <v>0.9</v>
      </c>
    </row>
    <row r="501" spans="1:14" x14ac:dyDescent="0.25">
      <c r="A501" s="12" t="s">
        <v>33</v>
      </c>
      <c r="B501" s="12" t="s">
        <v>85</v>
      </c>
      <c r="C501" s="12" t="s">
        <v>34</v>
      </c>
      <c r="D501" s="12" t="s">
        <v>83</v>
      </c>
      <c r="E501" s="12">
        <v>3</v>
      </c>
      <c r="F501" s="12">
        <v>0</v>
      </c>
      <c r="G501" s="12">
        <v>0</v>
      </c>
      <c r="H501" s="12">
        <v>3</v>
      </c>
      <c r="I501" s="12">
        <v>3</v>
      </c>
      <c r="J501" s="12">
        <f t="shared" si="28"/>
        <v>1.8</v>
      </c>
      <c r="K501" s="12">
        <f t="shared" si="29"/>
        <v>2</v>
      </c>
      <c r="L501" s="13" t="str">
        <f t="shared" si="30"/>
        <v>A</v>
      </c>
      <c r="M501" s="12" t="str">
        <f t="shared" si="31"/>
        <v>Aprobado</v>
      </c>
      <c r="N501" s="15">
        <v>0.95</v>
      </c>
    </row>
    <row r="502" spans="1:14" x14ac:dyDescent="0.25">
      <c r="A502" s="10" t="s">
        <v>35</v>
      </c>
      <c r="B502" s="10" t="s">
        <v>85</v>
      </c>
      <c r="C502" s="10" t="s">
        <v>36</v>
      </c>
      <c r="D502" s="10" t="s">
        <v>83</v>
      </c>
      <c r="E502" s="10">
        <v>2</v>
      </c>
      <c r="F502" s="10">
        <v>0</v>
      </c>
      <c r="G502" s="10">
        <v>0</v>
      </c>
      <c r="H502" s="10">
        <v>0</v>
      </c>
      <c r="I502" s="10">
        <v>1</v>
      </c>
      <c r="J502" s="10">
        <f t="shared" si="28"/>
        <v>0.6</v>
      </c>
      <c r="K502" s="10">
        <f t="shared" si="29"/>
        <v>1</v>
      </c>
      <c r="L502" s="11" t="str">
        <f t="shared" si="30"/>
        <v>B</v>
      </c>
      <c r="M502" s="10" t="str">
        <f t="shared" si="31"/>
        <v>Desaprobado</v>
      </c>
      <c r="N502" s="14">
        <v>0.6</v>
      </c>
    </row>
    <row r="503" spans="1:14" x14ac:dyDescent="0.25">
      <c r="A503" s="12" t="s">
        <v>37</v>
      </c>
      <c r="B503" s="12" t="s">
        <v>85</v>
      </c>
      <c r="C503" s="12" t="s">
        <v>38</v>
      </c>
      <c r="D503" s="12" t="s">
        <v>83</v>
      </c>
      <c r="E503" s="12">
        <v>2</v>
      </c>
      <c r="F503" s="12">
        <v>1</v>
      </c>
      <c r="G503" s="12">
        <v>3</v>
      </c>
      <c r="H503" s="12">
        <v>1</v>
      </c>
      <c r="I503" s="12">
        <v>1</v>
      </c>
      <c r="J503" s="12">
        <f t="shared" si="28"/>
        <v>1.6</v>
      </c>
      <c r="K503" s="12">
        <f t="shared" si="29"/>
        <v>2</v>
      </c>
      <c r="L503" s="13" t="str">
        <f t="shared" si="30"/>
        <v>A</v>
      </c>
      <c r="M503" s="12" t="str">
        <f t="shared" si="31"/>
        <v>Aprobado</v>
      </c>
      <c r="N503" s="15">
        <v>0.2</v>
      </c>
    </row>
    <row r="504" spans="1:14" x14ac:dyDescent="0.25">
      <c r="A504" s="10" t="s">
        <v>39</v>
      </c>
      <c r="B504" s="10" t="s">
        <v>85</v>
      </c>
      <c r="C504" s="10" t="s">
        <v>40</v>
      </c>
      <c r="D504" s="10" t="s">
        <v>83</v>
      </c>
      <c r="E504" s="10">
        <v>2</v>
      </c>
      <c r="F504" s="10">
        <v>3</v>
      </c>
      <c r="G504" s="10">
        <v>3</v>
      </c>
      <c r="H504" s="10">
        <v>2</v>
      </c>
      <c r="I504" s="10">
        <v>3</v>
      </c>
      <c r="J504" s="10">
        <f t="shared" si="28"/>
        <v>2.6</v>
      </c>
      <c r="K504" s="10">
        <f t="shared" si="29"/>
        <v>3</v>
      </c>
      <c r="L504" s="11" t="str">
        <f t="shared" si="30"/>
        <v>AD</v>
      </c>
      <c r="M504" s="10" t="str">
        <f t="shared" si="31"/>
        <v>Aprobado</v>
      </c>
      <c r="N504" s="14">
        <v>0.95</v>
      </c>
    </row>
    <row r="505" spans="1:14" x14ac:dyDescent="0.25">
      <c r="A505" s="12" t="s">
        <v>41</v>
      </c>
      <c r="B505" s="12" t="s">
        <v>85</v>
      </c>
      <c r="C505" s="12" t="s">
        <v>42</v>
      </c>
      <c r="D505" s="12" t="s">
        <v>83</v>
      </c>
      <c r="E505" s="12">
        <v>2</v>
      </c>
      <c r="F505" s="12">
        <v>3</v>
      </c>
      <c r="G505" s="12">
        <v>3</v>
      </c>
      <c r="H505" s="12">
        <v>0</v>
      </c>
      <c r="I505" s="12">
        <v>2</v>
      </c>
      <c r="J505" s="12">
        <f t="shared" si="28"/>
        <v>2</v>
      </c>
      <c r="K505" s="12">
        <f t="shared" si="29"/>
        <v>2</v>
      </c>
      <c r="L505" s="13" t="str">
        <f t="shared" si="30"/>
        <v>A</v>
      </c>
      <c r="M505" s="12" t="str">
        <f t="shared" si="31"/>
        <v>Aprobado</v>
      </c>
      <c r="N505" s="15">
        <v>0.8</v>
      </c>
    </row>
    <row r="506" spans="1:14" x14ac:dyDescent="0.25">
      <c r="A506" s="10" t="s">
        <v>43</v>
      </c>
      <c r="B506" s="10" t="s">
        <v>85</v>
      </c>
      <c r="C506" s="10" t="s">
        <v>44</v>
      </c>
      <c r="D506" s="10" t="s">
        <v>83</v>
      </c>
      <c r="E506" s="10">
        <v>3</v>
      </c>
      <c r="F506" s="10">
        <v>0</v>
      </c>
      <c r="G506" s="10">
        <v>1</v>
      </c>
      <c r="H506" s="10">
        <v>1</v>
      </c>
      <c r="I506" s="10">
        <v>0</v>
      </c>
      <c r="J506" s="10">
        <f t="shared" si="28"/>
        <v>1</v>
      </c>
      <c r="K506" s="10">
        <f t="shared" si="29"/>
        <v>1</v>
      </c>
      <c r="L506" s="11" t="str">
        <f t="shared" si="30"/>
        <v>B</v>
      </c>
      <c r="M506" s="10" t="str">
        <f t="shared" si="31"/>
        <v>Desaprobado</v>
      </c>
      <c r="N506" s="14">
        <v>0.25</v>
      </c>
    </row>
    <row r="507" spans="1:14" x14ac:dyDescent="0.25">
      <c r="A507" s="12" t="s">
        <v>45</v>
      </c>
      <c r="B507" s="12" t="s">
        <v>85</v>
      </c>
      <c r="C507" s="12" t="s">
        <v>46</v>
      </c>
      <c r="D507" s="12" t="s">
        <v>83</v>
      </c>
      <c r="E507" s="12">
        <v>2</v>
      </c>
      <c r="F507" s="12">
        <v>0</v>
      </c>
      <c r="G507" s="12">
        <v>3</v>
      </c>
      <c r="H507" s="12">
        <v>1</v>
      </c>
      <c r="I507" s="12">
        <v>0</v>
      </c>
      <c r="J507" s="12">
        <f t="shared" si="28"/>
        <v>1.2</v>
      </c>
      <c r="K507" s="12">
        <f t="shared" si="29"/>
        <v>1</v>
      </c>
      <c r="L507" s="13" t="str">
        <f t="shared" si="30"/>
        <v>B</v>
      </c>
      <c r="M507" s="12" t="str">
        <f t="shared" si="31"/>
        <v>Desaprobado</v>
      </c>
      <c r="N507" s="15">
        <v>0.4</v>
      </c>
    </row>
    <row r="508" spans="1:14" x14ac:dyDescent="0.25">
      <c r="A508" s="10" t="s">
        <v>47</v>
      </c>
      <c r="B508" s="10" t="s">
        <v>85</v>
      </c>
      <c r="C508" s="10" t="s">
        <v>48</v>
      </c>
      <c r="D508" s="10" t="s">
        <v>83</v>
      </c>
      <c r="E508" s="10">
        <v>0</v>
      </c>
      <c r="F508" s="10">
        <v>3</v>
      </c>
      <c r="G508" s="10">
        <v>1</v>
      </c>
      <c r="H508" s="10">
        <v>0</v>
      </c>
      <c r="I508" s="10">
        <v>2</v>
      </c>
      <c r="J508" s="10">
        <f t="shared" si="28"/>
        <v>1.2</v>
      </c>
      <c r="K508" s="10">
        <f t="shared" si="29"/>
        <v>1</v>
      </c>
      <c r="L508" s="11" t="str">
        <f t="shared" si="30"/>
        <v>B</v>
      </c>
      <c r="M508" s="10" t="str">
        <f t="shared" si="31"/>
        <v>Desaprobado</v>
      </c>
      <c r="N508" s="14">
        <v>0.4</v>
      </c>
    </row>
    <row r="509" spans="1:14" x14ac:dyDescent="0.25">
      <c r="A509" s="12" t="s">
        <v>49</v>
      </c>
      <c r="B509" s="12" t="s">
        <v>85</v>
      </c>
      <c r="C509" s="12" t="s">
        <v>50</v>
      </c>
      <c r="D509" s="12" t="s">
        <v>83</v>
      </c>
      <c r="E509" s="12">
        <v>0</v>
      </c>
      <c r="F509" s="12">
        <v>1</v>
      </c>
      <c r="G509" s="12">
        <v>0</v>
      </c>
      <c r="H509" s="12">
        <v>0</v>
      </c>
      <c r="I509" s="12">
        <v>3</v>
      </c>
      <c r="J509" s="12">
        <f t="shared" si="28"/>
        <v>0.8</v>
      </c>
      <c r="K509" s="12">
        <f t="shared" si="29"/>
        <v>1</v>
      </c>
      <c r="L509" s="13" t="str">
        <f t="shared" si="30"/>
        <v>B</v>
      </c>
      <c r="M509" s="12" t="str">
        <f t="shared" si="31"/>
        <v>Desaprobado</v>
      </c>
      <c r="N509" s="15">
        <v>0.5</v>
      </c>
    </row>
    <row r="510" spans="1:14" x14ac:dyDescent="0.25">
      <c r="A510" s="10" t="s">
        <v>51</v>
      </c>
      <c r="B510" s="10" t="s">
        <v>85</v>
      </c>
      <c r="C510" s="10" t="s">
        <v>52</v>
      </c>
      <c r="D510" s="10" t="s">
        <v>83</v>
      </c>
      <c r="E510" s="10">
        <v>0</v>
      </c>
      <c r="F510" s="10">
        <v>3</v>
      </c>
      <c r="G510" s="10">
        <v>2</v>
      </c>
      <c r="H510" s="10">
        <v>3</v>
      </c>
      <c r="I510" s="10">
        <v>2</v>
      </c>
      <c r="J510" s="10">
        <f t="shared" si="28"/>
        <v>2</v>
      </c>
      <c r="K510" s="10">
        <f t="shared" si="29"/>
        <v>2</v>
      </c>
      <c r="L510" s="11" t="str">
        <f t="shared" si="30"/>
        <v>A</v>
      </c>
      <c r="M510" s="10" t="str">
        <f t="shared" si="31"/>
        <v>Aprobado</v>
      </c>
      <c r="N510" s="14">
        <v>0.7</v>
      </c>
    </row>
    <row r="511" spans="1:14" x14ac:dyDescent="0.25">
      <c r="A511" s="12" t="s">
        <v>53</v>
      </c>
      <c r="B511" s="12" t="s">
        <v>85</v>
      </c>
      <c r="C511" s="12" t="s">
        <v>54</v>
      </c>
      <c r="D511" s="12" t="s">
        <v>83</v>
      </c>
      <c r="E511" s="12">
        <v>0</v>
      </c>
      <c r="F511" s="12">
        <v>1</v>
      </c>
      <c r="G511" s="12">
        <v>1</v>
      </c>
      <c r="H511" s="12">
        <v>1</v>
      </c>
      <c r="I511" s="12">
        <v>2</v>
      </c>
      <c r="J511" s="12">
        <f t="shared" si="28"/>
        <v>1</v>
      </c>
      <c r="K511" s="12">
        <f t="shared" si="29"/>
        <v>1</v>
      </c>
      <c r="L511" s="13" t="str">
        <f t="shared" si="30"/>
        <v>B</v>
      </c>
      <c r="M511" s="12" t="str">
        <f t="shared" si="31"/>
        <v>Desaprobado</v>
      </c>
      <c r="N511" s="15">
        <v>0.7</v>
      </c>
    </row>
    <row r="512" spans="1:14" x14ac:dyDescent="0.25">
      <c r="A512" s="10" t="s">
        <v>55</v>
      </c>
      <c r="B512" s="10" t="s">
        <v>85</v>
      </c>
      <c r="C512" s="10" t="s">
        <v>56</v>
      </c>
      <c r="D512" s="10" t="s">
        <v>83</v>
      </c>
      <c r="E512" s="10">
        <v>0</v>
      </c>
      <c r="F512" s="10">
        <v>3</v>
      </c>
      <c r="G512" s="10">
        <v>1</v>
      </c>
      <c r="H512" s="10">
        <v>1</v>
      </c>
      <c r="I512" s="10">
        <v>0</v>
      </c>
      <c r="J512" s="10">
        <f t="shared" si="28"/>
        <v>1</v>
      </c>
      <c r="K512" s="10">
        <f t="shared" si="29"/>
        <v>1</v>
      </c>
      <c r="L512" s="11" t="str">
        <f t="shared" si="30"/>
        <v>B</v>
      </c>
      <c r="M512" s="10" t="str">
        <f t="shared" si="31"/>
        <v>Desaprobado</v>
      </c>
      <c r="N512" s="14">
        <v>0.25</v>
      </c>
    </row>
    <row r="513" spans="1:14" x14ac:dyDescent="0.25">
      <c r="A513" s="12" t="s">
        <v>57</v>
      </c>
      <c r="B513" s="12" t="s">
        <v>85</v>
      </c>
      <c r="C513" s="12" t="s">
        <v>58</v>
      </c>
      <c r="D513" s="12" t="s">
        <v>83</v>
      </c>
      <c r="E513" s="12">
        <v>0</v>
      </c>
      <c r="F513" s="12">
        <v>0</v>
      </c>
      <c r="G513" s="12">
        <v>0</v>
      </c>
      <c r="H513" s="12">
        <v>3</v>
      </c>
      <c r="I513" s="12">
        <v>0</v>
      </c>
      <c r="J513" s="12">
        <f t="shared" si="28"/>
        <v>0.6</v>
      </c>
      <c r="K513" s="12">
        <f t="shared" si="29"/>
        <v>1</v>
      </c>
      <c r="L513" s="13" t="str">
        <f t="shared" si="30"/>
        <v>B</v>
      </c>
      <c r="M513" s="12" t="str">
        <f t="shared" si="31"/>
        <v>Desaprobado</v>
      </c>
      <c r="N513" s="15">
        <v>0.2</v>
      </c>
    </row>
    <row r="514" spans="1:14" x14ac:dyDescent="0.25">
      <c r="A514" s="10" t="s">
        <v>59</v>
      </c>
      <c r="B514" s="10" t="s">
        <v>85</v>
      </c>
      <c r="C514" s="10" t="s">
        <v>60</v>
      </c>
      <c r="D514" s="10" t="s">
        <v>83</v>
      </c>
      <c r="E514" s="10">
        <v>3</v>
      </c>
      <c r="F514" s="10">
        <v>2</v>
      </c>
      <c r="G514" s="10">
        <v>0</v>
      </c>
      <c r="H514" s="10">
        <v>2</v>
      </c>
      <c r="I514" s="10">
        <v>1</v>
      </c>
      <c r="J514" s="10">
        <f t="shared" si="28"/>
        <v>1.6</v>
      </c>
      <c r="K514" s="10">
        <f t="shared" si="29"/>
        <v>2</v>
      </c>
      <c r="L514" s="11" t="str">
        <f t="shared" si="30"/>
        <v>A</v>
      </c>
      <c r="M514" s="10" t="str">
        <f t="shared" si="31"/>
        <v>Aprobado</v>
      </c>
      <c r="N514" s="14">
        <v>0.65</v>
      </c>
    </row>
    <row r="515" spans="1:14" x14ac:dyDescent="0.25">
      <c r="A515" s="12" t="s">
        <v>61</v>
      </c>
      <c r="B515" s="12" t="s">
        <v>85</v>
      </c>
      <c r="C515" s="12" t="s">
        <v>62</v>
      </c>
      <c r="D515" s="12" t="s">
        <v>83</v>
      </c>
      <c r="E515" s="12">
        <v>3</v>
      </c>
      <c r="F515" s="12">
        <v>0</v>
      </c>
      <c r="G515" s="12">
        <v>2</v>
      </c>
      <c r="H515" s="12">
        <v>3</v>
      </c>
      <c r="I515" s="12">
        <v>1</v>
      </c>
      <c r="J515" s="12">
        <f t="shared" ref="J515:J578" si="32">+AVERAGE(E515:I515)</f>
        <v>1.8</v>
      </c>
      <c r="K515" s="12">
        <f t="shared" ref="K515:K578" si="33">+ROUND(J515,0)</f>
        <v>2</v>
      </c>
      <c r="L515" s="13" t="str">
        <f t="shared" ref="L515:L578" si="34">+_xlfn.XLOOKUP(K515,$R$3:$R$6,$S$3:$S$6)</f>
        <v>A</v>
      </c>
      <c r="M515" s="12" t="str">
        <f t="shared" ref="M515:M578" si="35">+IF(OR(L515="AD",L515="A"),"Aprobado","Desaprobado")</f>
        <v>Aprobado</v>
      </c>
      <c r="N515" s="15">
        <v>0.7</v>
      </c>
    </row>
    <row r="516" spans="1:14" x14ac:dyDescent="0.25">
      <c r="A516" s="10" t="s">
        <v>63</v>
      </c>
      <c r="B516" s="10" t="s">
        <v>85</v>
      </c>
      <c r="C516" s="10" t="s">
        <v>64</v>
      </c>
      <c r="D516" s="10" t="s">
        <v>83</v>
      </c>
      <c r="E516" s="10">
        <v>2</v>
      </c>
      <c r="F516" s="10">
        <v>2</v>
      </c>
      <c r="G516" s="10">
        <v>0</v>
      </c>
      <c r="H516" s="10">
        <v>3</v>
      </c>
      <c r="I516" s="10">
        <v>0</v>
      </c>
      <c r="J516" s="10">
        <f t="shared" si="32"/>
        <v>1.4</v>
      </c>
      <c r="K516" s="10">
        <f t="shared" si="33"/>
        <v>1</v>
      </c>
      <c r="L516" s="11" t="str">
        <f t="shared" si="34"/>
        <v>B</v>
      </c>
      <c r="M516" s="10" t="str">
        <f t="shared" si="35"/>
        <v>Desaprobado</v>
      </c>
      <c r="N516" s="14">
        <v>0.9</v>
      </c>
    </row>
    <row r="517" spans="1:14" x14ac:dyDescent="0.25">
      <c r="A517" s="12" t="s">
        <v>65</v>
      </c>
      <c r="B517" s="12" t="s">
        <v>85</v>
      </c>
      <c r="C517" s="12" t="s">
        <v>66</v>
      </c>
      <c r="D517" s="12" t="s">
        <v>83</v>
      </c>
      <c r="E517" s="12">
        <v>3</v>
      </c>
      <c r="F517" s="12">
        <v>2</v>
      </c>
      <c r="G517" s="12">
        <v>3</v>
      </c>
      <c r="H517" s="12">
        <v>3</v>
      </c>
      <c r="I517" s="12">
        <v>3</v>
      </c>
      <c r="J517" s="12">
        <f t="shared" si="32"/>
        <v>2.8</v>
      </c>
      <c r="K517" s="12">
        <f t="shared" si="33"/>
        <v>3</v>
      </c>
      <c r="L517" s="13" t="str">
        <f t="shared" si="34"/>
        <v>AD</v>
      </c>
      <c r="M517" s="12" t="str">
        <f t="shared" si="35"/>
        <v>Aprobado</v>
      </c>
      <c r="N517" s="15">
        <v>0.7</v>
      </c>
    </row>
    <row r="518" spans="1:14" x14ac:dyDescent="0.25">
      <c r="A518" s="10" t="s">
        <v>67</v>
      </c>
      <c r="B518" s="10" t="s">
        <v>85</v>
      </c>
      <c r="C518" s="10" t="s">
        <v>68</v>
      </c>
      <c r="D518" s="10" t="s">
        <v>83</v>
      </c>
      <c r="E518" s="10">
        <v>1</v>
      </c>
      <c r="F518" s="10">
        <v>2</v>
      </c>
      <c r="G518" s="10">
        <v>0</v>
      </c>
      <c r="H518" s="10">
        <v>3</v>
      </c>
      <c r="I518" s="10">
        <v>3</v>
      </c>
      <c r="J518" s="10">
        <f t="shared" si="32"/>
        <v>1.8</v>
      </c>
      <c r="K518" s="10">
        <f t="shared" si="33"/>
        <v>2</v>
      </c>
      <c r="L518" s="11" t="str">
        <f t="shared" si="34"/>
        <v>A</v>
      </c>
      <c r="M518" s="10" t="str">
        <f t="shared" si="35"/>
        <v>Aprobado</v>
      </c>
      <c r="N518" s="14">
        <v>0.95</v>
      </c>
    </row>
    <row r="519" spans="1:14" x14ac:dyDescent="0.25">
      <c r="A519" s="12" t="s">
        <v>69</v>
      </c>
      <c r="B519" s="12" t="s">
        <v>85</v>
      </c>
      <c r="C519" s="12" t="s">
        <v>70</v>
      </c>
      <c r="D519" s="12" t="s">
        <v>83</v>
      </c>
      <c r="E519" s="12">
        <v>2</v>
      </c>
      <c r="F519" s="12">
        <v>3</v>
      </c>
      <c r="G519" s="12">
        <v>3</v>
      </c>
      <c r="H519" s="12">
        <v>3</v>
      </c>
      <c r="I519" s="12">
        <v>3</v>
      </c>
      <c r="J519" s="12">
        <f t="shared" si="32"/>
        <v>2.8</v>
      </c>
      <c r="K519" s="12">
        <f t="shared" si="33"/>
        <v>3</v>
      </c>
      <c r="L519" s="13" t="str">
        <f t="shared" si="34"/>
        <v>AD</v>
      </c>
      <c r="M519" s="12" t="str">
        <f t="shared" si="35"/>
        <v>Aprobado</v>
      </c>
      <c r="N519" s="15">
        <v>0.6</v>
      </c>
    </row>
    <row r="520" spans="1:14" x14ac:dyDescent="0.25">
      <c r="A520" s="10" t="s">
        <v>71</v>
      </c>
      <c r="B520" s="10" t="s">
        <v>85</v>
      </c>
      <c r="C520" s="10" t="s">
        <v>72</v>
      </c>
      <c r="D520" s="10" t="s">
        <v>83</v>
      </c>
      <c r="E520" s="10">
        <v>0</v>
      </c>
      <c r="F520" s="10">
        <v>0</v>
      </c>
      <c r="G520" s="10">
        <v>3</v>
      </c>
      <c r="H520" s="10">
        <v>2</v>
      </c>
      <c r="I520" s="10">
        <v>1</v>
      </c>
      <c r="J520" s="10">
        <f t="shared" si="32"/>
        <v>1.2</v>
      </c>
      <c r="K520" s="10">
        <f t="shared" si="33"/>
        <v>1</v>
      </c>
      <c r="L520" s="11" t="str">
        <f t="shared" si="34"/>
        <v>B</v>
      </c>
      <c r="M520" s="10" t="str">
        <f t="shared" si="35"/>
        <v>Desaprobado</v>
      </c>
      <c r="N520" s="14">
        <v>0.1</v>
      </c>
    </row>
    <row r="521" spans="1:14" x14ac:dyDescent="0.25">
      <c r="A521" s="12" t="s">
        <v>73</v>
      </c>
      <c r="B521" s="12" t="s">
        <v>85</v>
      </c>
      <c r="C521" s="12" t="s">
        <v>74</v>
      </c>
      <c r="D521" s="12" t="s">
        <v>83</v>
      </c>
      <c r="E521" s="12">
        <v>1</v>
      </c>
      <c r="F521" s="12">
        <v>2</v>
      </c>
      <c r="G521" s="12">
        <v>1</v>
      </c>
      <c r="H521" s="12">
        <v>3</v>
      </c>
      <c r="I521" s="12">
        <v>3</v>
      </c>
      <c r="J521" s="12">
        <f t="shared" si="32"/>
        <v>2</v>
      </c>
      <c r="K521" s="12">
        <f t="shared" si="33"/>
        <v>2</v>
      </c>
      <c r="L521" s="13" t="str">
        <f t="shared" si="34"/>
        <v>A</v>
      </c>
      <c r="M521" s="12" t="str">
        <f t="shared" si="35"/>
        <v>Aprobado</v>
      </c>
      <c r="N521" s="15">
        <v>0.9</v>
      </c>
    </row>
    <row r="522" spans="1:14" x14ac:dyDescent="0.25">
      <c r="A522" s="10" t="s">
        <v>75</v>
      </c>
      <c r="B522" s="10" t="s">
        <v>85</v>
      </c>
      <c r="C522" s="10" t="s">
        <v>76</v>
      </c>
      <c r="D522" s="10" t="s">
        <v>83</v>
      </c>
      <c r="E522" s="10">
        <v>0</v>
      </c>
      <c r="F522" s="10">
        <v>1</v>
      </c>
      <c r="G522" s="10">
        <v>2</v>
      </c>
      <c r="H522" s="10">
        <v>0</v>
      </c>
      <c r="I522" s="10">
        <v>1</v>
      </c>
      <c r="J522" s="10">
        <f t="shared" si="32"/>
        <v>0.8</v>
      </c>
      <c r="K522" s="10">
        <f t="shared" si="33"/>
        <v>1</v>
      </c>
      <c r="L522" s="11" t="str">
        <f t="shared" si="34"/>
        <v>B</v>
      </c>
      <c r="M522" s="10" t="str">
        <f t="shared" si="35"/>
        <v>Desaprobado</v>
      </c>
      <c r="N522" s="14">
        <v>0.95</v>
      </c>
    </row>
    <row r="523" spans="1:14" x14ac:dyDescent="0.25">
      <c r="A523" s="12" t="s">
        <v>77</v>
      </c>
      <c r="B523" s="12" t="s">
        <v>85</v>
      </c>
      <c r="C523" s="12" t="s">
        <v>78</v>
      </c>
      <c r="D523" s="12" t="s">
        <v>83</v>
      </c>
      <c r="E523" s="12">
        <v>3</v>
      </c>
      <c r="F523" s="12">
        <v>0</v>
      </c>
      <c r="G523" s="12">
        <v>1</v>
      </c>
      <c r="H523" s="12">
        <v>0</v>
      </c>
      <c r="I523" s="12">
        <v>1</v>
      </c>
      <c r="J523" s="12">
        <f t="shared" si="32"/>
        <v>1</v>
      </c>
      <c r="K523" s="12">
        <f t="shared" si="33"/>
        <v>1</v>
      </c>
      <c r="L523" s="13" t="str">
        <f t="shared" si="34"/>
        <v>B</v>
      </c>
      <c r="M523" s="12" t="str">
        <f t="shared" si="35"/>
        <v>Desaprobado</v>
      </c>
      <c r="N523" s="15">
        <v>0.8</v>
      </c>
    </row>
    <row r="524" spans="1:14" x14ac:dyDescent="0.25">
      <c r="A524" s="10" t="s">
        <v>14</v>
      </c>
      <c r="B524" s="10" t="s">
        <v>86</v>
      </c>
      <c r="C524" s="10" t="s">
        <v>16</v>
      </c>
      <c r="D524" s="10" t="s">
        <v>17</v>
      </c>
      <c r="E524" s="10">
        <v>3</v>
      </c>
      <c r="F524" s="10">
        <v>3</v>
      </c>
      <c r="G524" s="10">
        <v>0</v>
      </c>
      <c r="H524" s="10">
        <v>1</v>
      </c>
      <c r="I524" s="10">
        <v>3</v>
      </c>
      <c r="J524" s="10">
        <f t="shared" si="32"/>
        <v>2</v>
      </c>
      <c r="K524" s="10">
        <f t="shared" si="33"/>
        <v>2</v>
      </c>
      <c r="L524" s="11" t="str">
        <f t="shared" si="34"/>
        <v>A</v>
      </c>
      <c r="M524" s="10" t="str">
        <f t="shared" si="35"/>
        <v>Aprobado</v>
      </c>
      <c r="N524" s="14">
        <v>0.95</v>
      </c>
    </row>
    <row r="525" spans="1:14" x14ac:dyDescent="0.25">
      <c r="A525" s="12" t="s">
        <v>19</v>
      </c>
      <c r="B525" s="12" t="s">
        <v>86</v>
      </c>
      <c r="C525" s="12" t="s">
        <v>20</v>
      </c>
      <c r="D525" s="12" t="s">
        <v>17</v>
      </c>
      <c r="E525" s="12">
        <v>3</v>
      </c>
      <c r="F525" s="12">
        <v>0</v>
      </c>
      <c r="G525" s="12">
        <v>3</v>
      </c>
      <c r="H525" s="12">
        <v>0</v>
      </c>
      <c r="I525" s="12">
        <v>2</v>
      </c>
      <c r="J525" s="12">
        <f t="shared" si="32"/>
        <v>1.6</v>
      </c>
      <c r="K525" s="12">
        <f t="shared" si="33"/>
        <v>2</v>
      </c>
      <c r="L525" s="13" t="str">
        <f t="shared" si="34"/>
        <v>A</v>
      </c>
      <c r="M525" s="12" t="str">
        <f t="shared" si="35"/>
        <v>Aprobado</v>
      </c>
      <c r="N525" s="15">
        <v>0.6</v>
      </c>
    </row>
    <row r="526" spans="1:14" x14ac:dyDescent="0.25">
      <c r="A526" s="10" t="s">
        <v>22</v>
      </c>
      <c r="B526" s="10" t="s">
        <v>86</v>
      </c>
      <c r="C526" s="10" t="s">
        <v>23</v>
      </c>
      <c r="D526" s="10" t="s">
        <v>17</v>
      </c>
      <c r="E526" s="10">
        <v>1</v>
      </c>
      <c r="F526" s="10">
        <v>0</v>
      </c>
      <c r="G526" s="10">
        <v>1</v>
      </c>
      <c r="H526" s="10">
        <v>2</v>
      </c>
      <c r="I526" s="10">
        <v>2</v>
      </c>
      <c r="J526" s="10">
        <f t="shared" si="32"/>
        <v>1.2</v>
      </c>
      <c r="K526" s="10">
        <f t="shared" si="33"/>
        <v>1</v>
      </c>
      <c r="L526" s="11" t="str">
        <f t="shared" si="34"/>
        <v>B</v>
      </c>
      <c r="M526" s="10" t="str">
        <f t="shared" si="35"/>
        <v>Desaprobado</v>
      </c>
      <c r="N526" s="14">
        <v>0.9</v>
      </c>
    </row>
    <row r="527" spans="1:14" x14ac:dyDescent="0.25">
      <c r="A527" s="12" t="s">
        <v>25</v>
      </c>
      <c r="B527" s="12" t="s">
        <v>86</v>
      </c>
      <c r="C527" s="12" t="s">
        <v>26</v>
      </c>
      <c r="D527" s="12" t="s">
        <v>17</v>
      </c>
      <c r="E527" s="12">
        <v>2</v>
      </c>
      <c r="F527" s="12">
        <v>1</v>
      </c>
      <c r="G527" s="12">
        <v>1</v>
      </c>
      <c r="H527" s="12">
        <v>3</v>
      </c>
      <c r="I527" s="12">
        <v>0</v>
      </c>
      <c r="J527" s="12">
        <f t="shared" si="32"/>
        <v>1.4</v>
      </c>
      <c r="K527" s="12">
        <f t="shared" si="33"/>
        <v>1</v>
      </c>
      <c r="L527" s="13" t="str">
        <f t="shared" si="34"/>
        <v>B</v>
      </c>
      <c r="M527" s="12" t="str">
        <f t="shared" si="35"/>
        <v>Desaprobado</v>
      </c>
      <c r="N527" s="15">
        <v>0.9</v>
      </c>
    </row>
    <row r="528" spans="1:14" x14ac:dyDescent="0.25">
      <c r="A528" s="10" t="s">
        <v>28</v>
      </c>
      <c r="B528" s="10" t="s">
        <v>86</v>
      </c>
      <c r="C528" s="10" t="s">
        <v>29</v>
      </c>
      <c r="D528" s="10" t="s">
        <v>17</v>
      </c>
      <c r="E528" s="10">
        <v>3</v>
      </c>
      <c r="F528" s="10">
        <v>3</v>
      </c>
      <c r="G528" s="10">
        <v>3</v>
      </c>
      <c r="H528" s="10">
        <v>0</v>
      </c>
      <c r="I528" s="10">
        <v>1</v>
      </c>
      <c r="J528" s="10">
        <f t="shared" si="32"/>
        <v>2</v>
      </c>
      <c r="K528" s="10">
        <f t="shared" si="33"/>
        <v>2</v>
      </c>
      <c r="L528" s="11" t="str">
        <f t="shared" si="34"/>
        <v>A</v>
      </c>
      <c r="M528" s="10" t="str">
        <f t="shared" si="35"/>
        <v>Aprobado</v>
      </c>
      <c r="N528" s="14">
        <v>0.95</v>
      </c>
    </row>
    <row r="529" spans="1:14" x14ac:dyDescent="0.25">
      <c r="A529" s="12" t="s">
        <v>31</v>
      </c>
      <c r="B529" s="12" t="s">
        <v>86</v>
      </c>
      <c r="C529" s="12" t="s">
        <v>32</v>
      </c>
      <c r="D529" s="12" t="s">
        <v>17</v>
      </c>
      <c r="E529" s="12">
        <v>0</v>
      </c>
      <c r="F529" s="12">
        <v>2</v>
      </c>
      <c r="G529" s="12">
        <v>0</v>
      </c>
      <c r="H529" s="12">
        <v>2</v>
      </c>
      <c r="I529" s="12">
        <v>1</v>
      </c>
      <c r="J529" s="12">
        <f t="shared" si="32"/>
        <v>1</v>
      </c>
      <c r="K529" s="12">
        <f t="shared" si="33"/>
        <v>1</v>
      </c>
      <c r="L529" s="13" t="str">
        <f t="shared" si="34"/>
        <v>B</v>
      </c>
      <c r="M529" s="12" t="str">
        <f t="shared" si="35"/>
        <v>Desaprobado</v>
      </c>
      <c r="N529" s="15">
        <v>0.7</v>
      </c>
    </row>
    <row r="530" spans="1:14" x14ac:dyDescent="0.25">
      <c r="A530" s="10" t="s">
        <v>33</v>
      </c>
      <c r="B530" s="10" t="s">
        <v>86</v>
      </c>
      <c r="C530" s="10" t="s">
        <v>34</v>
      </c>
      <c r="D530" s="10" t="s">
        <v>17</v>
      </c>
      <c r="E530" s="10">
        <v>0</v>
      </c>
      <c r="F530" s="10">
        <v>3</v>
      </c>
      <c r="G530" s="10">
        <v>0</v>
      </c>
      <c r="H530" s="10">
        <v>2</v>
      </c>
      <c r="I530" s="10">
        <v>1</v>
      </c>
      <c r="J530" s="10">
        <f t="shared" si="32"/>
        <v>1.2</v>
      </c>
      <c r="K530" s="10">
        <f t="shared" si="33"/>
        <v>1</v>
      </c>
      <c r="L530" s="11" t="str">
        <f t="shared" si="34"/>
        <v>B</v>
      </c>
      <c r="M530" s="10" t="str">
        <f t="shared" si="35"/>
        <v>Desaprobado</v>
      </c>
      <c r="N530" s="14">
        <v>0.2</v>
      </c>
    </row>
    <row r="531" spans="1:14" x14ac:dyDescent="0.25">
      <c r="A531" s="12" t="s">
        <v>35</v>
      </c>
      <c r="B531" s="12" t="s">
        <v>86</v>
      </c>
      <c r="C531" s="12" t="s">
        <v>36</v>
      </c>
      <c r="D531" s="12" t="s">
        <v>17</v>
      </c>
      <c r="E531" s="12">
        <v>0</v>
      </c>
      <c r="F531" s="12">
        <v>0</v>
      </c>
      <c r="G531" s="12">
        <v>3</v>
      </c>
      <c r="H531" s="12">
        <v>1</v>
      </c>
      <c r="I531" s="12">
        <v>1</v>
      </c>
      <c r="J531" s="12">
        <f t="shared" si="32"/>
        <v>1</v>
      </c>
      <c r="K531" s="12">
        <f t="shared" si="33"/>
        <v>1</v>
      </c>
      <c r="L531" s="13" t="str">
        <f t="shared" si="34"/>
        <v>B</v>
      </c>
      <c r="M531" s="12" t="str">
        <f t="shared" si="35"/>
        <v>Desaprobado</v>
      </c>
      <c r="N531" s="15">
        <v>0.95</v>
      </c>
    </row>
    <row r="532" spans="1:14" x14ac:dyDescent="0.25">
      <c r="A532" s="10" t="s">
        <v>37</v>
      </c>
      <c r="B532" s="10" t="s">
        <v>86</v>
      </c>
      <c r="C532" s="10" t="s">
        <v>38</v>
      </c>
      <c r="D532" s="10" t="s">
        <v>17</v>
      </c>
      <c r="E532" s="10">
        <v>3</v>
      </c>
      <c r="F532" s="10">
        <v>3</v>
      </c>
      <c r="G532" s="10">
        <v>3</v>
      </c>
      <c r="H532" s="10">
        <v>3</v>
      </c>
      <c r="I532" s="10">
        <v>3</v>
      </c>
      <c r="J532" s="10">
        <f t="shared" si="32"/>
        <v>3</v>
      </c>
      <c r="K532" s="10">
        <f t="shared" si="33"/>
        <v>3</v>
      </c>
      <c r="L532" s="11" t="str">
        <f t="shared" si="34"/>
        <v>AD</v>
      </c>
      <c r="M532" s="10" t="str">
        <f t="shared" si="35"/>
        <v>Aprobado</v>
      </c>
      <c r="N532" s="14">
        <v>0.8</v>
      </c>
    </row>
    <row r="533" spans="1:14" x14ac:dyDescent="0.25">
      <c r="A533" s="12" t="s">
        <v>39</v>
      </c>
      <c r="B533" s="12" t="s">
        <v>86</v>
      </c>
      <c r="C533" s="12" t="s">
        <v>40</v>
      </c>
      <c r="D533" s="12" t="s">
        <v>17</v>
      </c>
      <c r="E533" s="12">
        <v>1</v>
      </c>
      <c r="F533" s="12">
        <v>2</v>
      </c>
      <c r="G533" s="12">
        <v>3</v>
      </c>
      <c r="H533" s="12">
        <v>0</v>
      </c>
      <c r="I533" s="12">
        <v>1</v>
      </c>
      <c r="J533" s="12">
        <f t="shared" si="32"/>
        <v>1.4</v>
      </c>
      <c r="K533" s="12">
        <f t="shared" si="33"/>
        <v>1</v>
      </c>
      <c r="L533" s="13" t="str">
        <f t="shared" si="34"/>
        <v>B</v>
      </c>
      <c r="M533" s="12" t="str">
        <f t="shared" si="35"/>
        <v>Desaprobado</v>
      </c>
      <c r="N533" s="15">
        <v>0.75</v>
      </c>
    </row>
    <row r="534" spans="1:14" x14ac:dyDescent="0.25">
      <c r="A534" s="10" t="s">
        <v>41</v>
      </c>
      <c r="B534" s="10" t="s">
        <v>86</v>
      </c>
      <c r="C534" s="10" t="s">
        <v>42</v>
      </c>
      <c r="D534" s="10" t="s">
        <v>17</v>
      </c>
      <c r="E534" s="10">
        <v>2</v>
      </c>
      <c r="F534" s="10">
        <v>2</v>
      </c>
      <c r="G534" s="10">
        <v>1</v>
      </c>
      <c r="H534" s="10">
        <v>2</v>
      </c>
      <c r="I534" s="10">
        <v>0</v>
      </c>
      <c r="J534" s="10">
        <f t="shared" si="32"/>
        <v>1.4</v>
      </c>
      <c r="K534" s="10">
        <f t="shared" si="33"/>
        <v>1</v>
      </c>
      <c r="L534" s="11" t="str">
        <f t="shared" si="34"/>
        <v>B</v>
      </c>
      <c r="M534" s="10" t="str">
        <f t="shared" si="35"/>
        <v>Desaprobado</v>
      </c>
      <c r="N534" s="14">
        <v>0.4</v>
      </c>
    </row>
    <row r="535" spans="1:14" x14ac:dyDescent="0.25">
      <c r="A535" s="12" t="s">
        <v>43</v>
      </c>
      <c r="B535" s="12" t="s">
        <v>86</v>
      </c>
      <c r="C535" s="12" t="s">
        <v>44</v>
      </c>
      <c r="D535" s="12" t="s">
        <v>17</v>
      </c>
      <c r="E535" s="12">
        <v>2</v>
      </c>
      <c r="F535" s="12">
        <v>2</v>
      </c>
      <c r="G535" s="12">
        <v>2</v>
      </c>
      <c r="H535" s="12">
        <v>3</v>
      </c>
      <c r="I535" s="12">
        <v>0</v>
      </c>
      <c r="J535" s="12">
        <f t="shared" si="32"/>
        <v>1.8</v>
      </c>
      <c r="K535" s="12">
        <f t="shared" si="33"/>
        <v>2</v>
      </c>
      <c r="L535" s="13" t="str">
        <f t="shared" si="34"/>
        <v>A</v>
      </c>
      <c r="M535" s="12" t="str">
        <f t="shared" si="35"/>
        <v>Aprobado</v>
      </c>
      <c r="N535" s="15">
        <v>0.4</v>
      </c>
    </row>
    <row r="536" spans="1:14" x14ac:dyDescent="0.25">
      <c r="A536" s="10" t="s">
        <v>45</v>
      </c>
      <c r="B536" s="10" t="s">
        <v>86</v>
      </c>
      <c r="C536" s="10" t="s">
        <v>46</v>
      </c>
      <c r="D536" s="10" t="s">
        <v>17</v>
      </c>
      <c r="E536" s="10">
        <v>0</v>
      </c>
      <c r="F536" s="10">
        <v>0</v>
      </c>
      <c r="G536" s="10">
        <v>3</v>
      </c>
      <c r="H536" s="10">
        <v>0</v>
      </c>
      <c r="I536" s="10">
        <v>3</v>
      </c>
      <c r="J536" s="10">
        <f t="shared" si="32"/>
        <v>1.2</v>
      </c>
      <c r="K536" s="10">
        <f t="shared" si="33"/>
        <v>1</v>
      </c>
      <c r="L536" s="11" t="str">
        <f t="shared" si="34"/>
        <v>B</v>
      </c>
      <c r="M536" s="10" t="str">
        <f t="shared" si="35"/>
        <v>Desaprobado</v>
      </c>
      <c r="N536" s="14">
        <v>0.5</v>
      </c>
    </row>
    <row r="537" spans="1:14" x14ac:dyDescent="0.25">
      <c r="A537" s="12" t="s">
        <v>47</v>
      </c>
      <c r="B537" s="12" t="s">
        <v>86</v>
      </c>
      <c r="C537" s="12" t="s">
        <v>48</v>
      </c>
      <c r="D537" s="12" t="s">
        <v>17</v>
      </c>
      <c r="E537" s="12">
        <v>1</v>
      </c>
      <c r="F537" s="12">
        <v>1</v>
      </c>
      <c r="G537" s="12">
        <v>1</v>
      </c>
      <c r="H537" s="12">
        <v>3</v>
      </c>
      <c r="I537" s="12">
        <v>2</v>
      </c>
      <c r="J537" s="12">
        <f t="shared" si="32"/>
        <v>1.6</v>
      </c>
      <c r="K537" s="12">
        <f t="shared" si="33"/>
        <v>2</v>
      </c>
      <c r="L537" s="13" t="str">
        <f t="shared" si="34"/>
        <v>A</v>
      </c>
      <c r="M537" s="12" t="str">
        <f t="shared" si="35"/>
        <v>Aprobado</v>
      </c>
      <c r="N537" s="15">
        <v>0.7</v>
      </c>
    </row>
    <row r="538" spans="1:14" x14ac:dyDescent="0.25">
      <c r="A538" s="10" t="s">
        <v>49</v>
      </c>
      <c r="B538" s="10" t="s">
        <v>86</v>
      </c>
      <c r="C538" s="10" t="s">
        <v>50</v>
      </c>
      <c r="D538" s="10" t="s">
        <v>17</v>
      </c>
      <c r="E538" s="10">
        <v>0</v>
      </c>
      <c r="F538" s="10">
        <v>3</v>
      </c>
      <c r="G538" s="10">
        <v>2</v>
      </c>
      <c r="H538" s="10">
        <v>1</v>
      </c>
      <c r="I538" s="10">
        <v>1</v>
      </c>
      <c r="J538" s="10">
        <f t="shared" si="32"/>
        <v>1.4</v>
      </c>
      <c r="K538" s="10">
        <f t="shared" si="33"/>
        <v>1</v>
      </c>
      <c r="L538" s="11" t="str">
        <f t="shared" si="34"/>
        <v>B</v>
      </c>
      <c r="M538" s="10" t="str">
        <f t="shared" si="35"/>
        <v>Desaprobado</v>
      </c>
      <c r="N538" s="14">
        <v>0.7</v>
      </c>
    </row>
    <row r="539" spans="1:14" x14ac:dyDescent="0.25">
      <c r="A539" s="12" t="s">
        <v>51</v>
      </c>
      <c r="B539" s="12" t="s">
        <v>86</v>
      </c>
      <c r="C539" s="12" t="s">
        <v>52</v>
      </c>
      <c r="D539" s="12" t="s">
        <v>17</v>
      </c>
      <c r="E539" s="12">
        <v>1</v>
      </c>
      <c r="F539" s="12">
        <v>0</v>
      </c>
      <c r="G539" s="12">
        <v>0</v>
      </c>
      <c r="H539" s="12">
        <v>0</v>
      </c>
      <c r="I539" s="12">
        <v>2</v>
      </c>
      <c r="J539" s="12">
        <f t="shared" si="32"/>
        <v>0.6</v>
      </c>
      <c r="K539" s="12">
        <f t="shared" si="33"/>
        <v>1</v>
      </c>
      <c r="L539" s="13" t="str">
        <f t="shared" si="34"/>
        <v>B</v>
      </c>
      <c r="M539" s="12" t="str">
        <f t="shared" si="35"/>
        <v>Desaprobado</v>
      </c>
      <c r="N539" s="15">
        <v>0.25</v>
      </c>
    </row>
    <row r="540" spans="1:14" x14ac:dyDescent="0.25">
      <c r="A540" s="10" t="s">
        <v>53</v>
      </c>
      <c r="B540" s="10" t="s">
        <v>86</v>
      </c>
      <c r="C540" s="10" t="s">
        <v>54</v>
      </c>
      <c r="D540" s="10" t="s">
        <v>17</v>
      </c>
      <c r="E540" s="10">
        <v>2</v>
      </c>
      <c r="F540" s="10">
        <v>0</v>
      </c>
      <c r="G540" s="10">
        <v>3</v>
      </c>
      <c r="H540" s="10">
        <v>1</v>
      </c>
      <c r="I540" s="10">
        <v>3</v>
      </c>
      <c r="J540" s="10">
        <f t="shared" si="32"/>
        <v>1.8</v>
      </c>
      <c r="K540" s="10">
        <f t="shared" si="33"/>
        <v>2</v>
      </c>
      <c r="L540" s="11" t="str">
        <f t="shared" si="34"/>
        <v>A</v>
      </c>
      <c r="M540" s="10" t="str">
        <f t="shared" si="35"/>
        <v>Aprobado</v>
      </c>
      <c r="N540" s="14">
        <v>0.8</v>
      </c>
    </row>
    <row r="541" spans="1:14" x14ac:dyDescent="0.25">
      <c r="A541" s="12" t="s">
        <v>55</v>
      </c>
      <c r="B541" s="12" t="s">
        <v>86</v>
      </c>
      <c r="C541" s="12" t="s">
        <v>56</v>
      </c>
      <c r="D541" s="12" t="s">
        <v>17</v>
      </c>
      <c r="E541" s="12">
        <v>3</v>
      </c>
      <c r="F541" s="12">
        <v>1</v>
      </c>
      <c r="G541" s="12">
        <v>0</v>
      </c>
      <c r="H541" s="12">
        <v>3</v>
      </c>
      <c r="I541" s="12">
        <v>3</v>
      </c>
      <c r="J541" s="12">
        <f t="shared" si="32"/>
        <v>2</v>
      </c>
      <c r="K541" s="12">
        <f t="shared" si="33"/>
        <v>2</v>
      </c>
      <c r="L541" s="13" t="str">
        <f t="shared" si="34"/>
        <v>A</v>
      </c>
      <c r="M541" s="12" t="str">
        <f t="shared" si="35"/>
        <v>Aprobado</v>
      </c>
      <c r="N541" s="15">
        <v>0.65</v>
      </c>
    </row>
    <row r="542" spans="1:14" x14ac:dyDescent="0.25">
      <c r="A542" s="10" t="s">
        <v>57</v>
      </c>
      <c r="B542" s="10" t="s">
        <v>86</v>
      </c>
      <c r="C542" s="10" t="s">
        <v>58</v>
      </c>
      <c r="D542" s="10" t="s">
        <v>17</v>
      </c>
      <c r="E542" s="10">
        <v>0</v>
      </c>
      <c r="F542" s="10">
        <v>0</v>
      </c>
      <c r="G542" s="10">
        <v>3</v>
      </c>
      <c r="H542" s="10">
        <v>2</v>
      </c>
      <c r="I542" s="10">
        <v>1</v>
      </c>
      <c r="J542" s="10">
        <f t="shared" si="32"/>
        <v>1.2</v>
      </c>
      <c r="K542" s="10">
        <f t="shared" si="33"/>
        <v>1</v>
      </c>
      <c r="L542" s="11" t="str">
        <f t="shared" si="34"/>
        <v>B</v>
      </c>
      <c r="M542" s="10" t="str">
        <f t="shared" si="35"/>
        <v>Desaprobado</v>
      </c>
      <c r="N542" s="14">
        <v>0.7</v>
      </c>
    </row>
    <row r="543" spans="1:14" x14ac:dyDescent="0.25">
      <c r="A543" s="12" t="s">
        <v>59</v>
      </c>
      <c r="B543" s="12" t="s">
        <v>86</v>
      </c>
      <c r="C543" s="12" t="s">
        <v>60</v>
      </c>
      <c r="D543" s="12" t="s">
        <v>17</v>
      </c>
      <c r="E543" s="12">
        <v>0</v>
      </c>
      <c r="F543" s="12">
        <v>2</v>
      </c>
      <c r="G543" s="12">
        <v>3</v>
      </c>
      <c r="H543" s="12">
        <v>2</v>
      </c>
      <c r="I543" s="12">
        <v>3</v>
      </c>
      <c r="J543" s="12">
        <f t="shared" si="32"/>
        <v>2</v>
      </c>
      <c r="K543" s="12">
        <f t="shared" si="33"/>
        <v>2</v>
      </c>
      <c r="L543" s="13" t="str">
        <f t="shared" si="34"/>
        <v>A</v>
      </c>
      <c r="M543" s="12" t="str">
        <f t="shared" si="35"/>
        <v>Aprobado</v>
      </c>
      <c r="N543" s="15">
        <v>0.9</v>
      </c>
    </row>
    <row r="544" spans="1:14" x14ac:dyDescent="0.25">
      <c r="A544" s="10" t="s">
        <v>61</v>
      </c>
      <c r="B544" s="10" t="s">
        <v>86</v>
      </c>
      <c r="C544" s="10" t="s">
        <v>62</v>
      </c>
      <c r="D544" s="10" t="s">
        <v>17</v>
      </c>
      <c r="E544" s="10">
        <v>2</v>
      </c>
      <c r="F544" s="10">
        <v>1</v>
      </c>
      <c r="G544" s="10">
        <v>0</v>
      </c>
      <c r="H544" s="10">
        <v>2</v>
      </c>
      <c r="I544" s="10">
        <v>2</v>
      </c>
      <c r="J544" s="10">
        <f t="shared" si="32"/>
        <v>1.4</v>
      </c>
      <c r="K544" s="10">
        <f t="shared" si="33"/>
        <v>1</v>
      </c>
      <c r="L544" s="11" t="str">
        <f t="shared" si="34"/>
        <v>B</v>
      </c>
      <c r="M544" s="10" t="str">
        <f t="shared" si="35"/>
        <v>Desaprobado</v>
      </c>
      <c r="N544" s="14">
        <v>0.7</v>
      </c>
    </row>
    <row r="545" spans="1:14" x14ac:dyDescent="0.25">
      <c r="A545" s="12" t="s">
        <v>63</v>
      </c>
      <c r="B545" s="12" t="s">
        <v>86</v>
      </c>
      <c r="C545" s="12" t="s">
        <v>64</v>
      </c>
      <c r="D545" s="12" t="s">
        <v>17</v>
      </c>
      <c r="E545" s="12">
        <v>0</v>
      </c>
      <c r="F545" s="12">
        <v>1</v>
      </c>
      <c r="G545" s="12">
        <v>0</v>
      </c>
      <c r="H545" s="12">
        <v>2</v>
      </c>
      <c r="I545" s="12">
        <v>2</v>
      </c>
      <c r="J545" s="12">
        <f t="shared" si="32"/>
        <v>1</v>
      </c>
      <c r="K545" s="12">
        <f t="shared" si="33"/>
        <v>1</v>
      </c>
      <c r="L545" s="13" t="str">
        <f t="shared" si="34"/>
        <v>B</v>
      </c>
      <c r="M545" s="12" t="str">
        <f t="shared" si="35"/>
        <v>Desaprobado</v>
      </c>
      <c r="N545" s="15">
        <v>0.95</v>
      </c>
    </row>
    <row r="546" spans="1:14" x14ac:dyDescent="0.25">
      <c r="A546" s="10" t="s">
        <v>65</v>
      </c>
      <c r="B546" s="10" t="s">
        <v>86</v>
      </c>
      <c r="C546" s="10" t="s">
        <v>66</v>
      </c>
      <c r="D546" s="10" t="s">
        <v>17</v>
      </c>
      <c r="E546" s="10">
        <v>1</v>
      </c>
      <c r="F546" s="10">
        <v>1</v>
      </c>
      <c r="G546" s="10">
        <v>2</v>
      </c>
      <c r="H546" s="10">
        <v>1</v>
      </c>
      <c r="I546" s="10">
        <v>3</v>
      </c>
      <c r="J546" s="10">
        <f t="shared" si="32"/>
        <v>1.6</v>
      </c>
      <c r="K546" s="10">
        <f t="shared" si="33"/>
        <v>2</v>
      </c>
      <c r="L546" s="11" t="str">
        <f t="shared" si="34"/>
        <v>A</v>
      </c>
      <c r="M546" s="10" t="str">
        <f t="shared" si="35"/>
        <v>Aprobado</v>
      </c>
      <c r="N546" s="14">
        <v>0.6</v>
      </c>
    </row>
    <row r="547" spans="1:14" x14ac:dyDescent="0.25">
      <c r="A547" s="12" t="s">
        <v>67</v>
      </c>
      <c r="B547" s="12" t="s">
        <v>86</v>
      </c>
      <c r="C547" s="12" t="s">
        <v>68</v>
      </c>
      <c r="D547" s="12" t="s">
        <v>17</v>
      </c>
      <c r="E547" s="12">
        <v>0</v>
      </c>
      <c r="F547" s="12">
        <v>0</v>
      </c>
      <c r="G547" s="12">
        <v>0</v>
      </c>
      <c r="H547" s="12">
        <v>1</v>
      </c>
      <c r="I547" s="12">
        <v>1</v>
      </c>
      <c r="J547" s="12">
        <f t="shared" si="32"/>
        <v>0.4</v>
      </c>
      <c r="K547" s="12">
        <f t="shared" si="33"/>
        <v>0</v>
      </c>
      <c r="L547" s="13" t="str">
        <f t="shared" si="34"/>
        <v>C</v>
      </c>
      <c r="M547" s="12" t="str">
        <f t="shared" si="35"/>
        <v>Desaprobado</v>
      </c>
      <c r="N547" s="15">
        <v>1</v>
      </c>
    </row>
    <row r="548" spans="1:14" x14ac:dyDescent="0.25">
      <c r="A548" s="10" t="s">
        <v>69</v>
      </c>
      <c r="B548" s="10" t="s">
        <v>86</v>
      </c>
      <c r="C548" s="10" t="s">
        <v>70</v>
      </c>
      <c r="D548" s="10" t="s">
        <v>17</v>
      </c>
      <c r="E548" s="10">
        <v>0</v>
      </c>
      <c r="F548" s="10">
        <v>3</v>
      </c>
      <c r="G548" s="10">
        <v>0</v>
      </c>
      <c r="H548" s="10">
        <v>2</v>
      </c>
      <c r="I548" s="10">
        <v>2</v>
      </c>
      <c r="J548" s="10">
        <f t="shared" si="32"/>
        <v>1.4</v>
      </c>
      <c r="K548" s="10">
        <f t="shared" si="33"/>
        <v>1</v>
      </c>
      <c r="L548" s="11" t="str">
        <f t="shared" si="34"/>
        <v>B</v>
      </c>
      <c r="M548" s="10" t="str">
        <f t="shared" si="35"/>
        <v>Desaprobado</v>
      </c>
      <c r="N548" s="14">
        <v>0.9</v>
      </c>
    </row>
    <row r="549" spans="1:14" x14ac:dyDescent="0.25">
      <c r="A549" s="12" t="s">
        <v>71</v>
      </c>
      <c r="B549" s="12" t="s">
        <v>86</v>
      </c>
      <c r="C549" s="12" t="s">
        <v>72</v>
      </c>
      <c r="D549" s="12" t="s">
        <v>17</v>
      </c>
      <c r="E549" s="12">
        <v>3</v>
      </c>
      <c r="F549" s="12">
        <v>2</v>
      </c>
      <c r="G549" s="12">
        <v>3</v>
      </c>
      <c r="H549" s="12">
        <v>3</v>
      </c>
      <c r="I549" s="12">
        <v>3</v>
      </c>
      <c r="J549" s="12">
        <f t="shared" si="32"/>
        <v>2.8</v>
      </c>
      <c r="K549" s="12">
        <f t="shared" si="33"/>
        <v>3</v>
      </c>
      <c r="L549" s="13" t="str">
        <f t="shared" si="34"/>
        <v>AD</v>
      </c>
      <c r="M549" s="12" t="str">
        <f t="shared" si="35"/>
        <v>Aprobado</v>
      </c>
      <c r="N549" s="15">
        <v>0.95</v>
      </c>
    </row>
    <row r="550" spans="1:14" x14ac:dyDescent="0.25">
      <c r="A550" s="10" t="s">
        <v>73</v>
      </c>
      <c r="B550" s="10" t="s">
        <v>86</v>
      </c>
      <c r="C550" s="10" t="s">
        <v>74</v>
      </c>
      <c r="D550" s="10" t="s">
        <v>17</v>
      </c>
      <c r="E550" s="10">
        <v>0</v>
      </c>
      <c r="F550" s="10">
        <v>1</v>
      </c>
      <c r="G550" s="10">
        <v>3</v>
      </c>
      <c r="H550" s="10">
        <v>2</v>
      </c>
      <c r="I550" s="10">
        <v>1</v>
      </c>
      <c r="J550" s="10">
        <f t="shared" si="32"/>
        <v>1.4</v>
      </c>
      <c r="K550" s="10">
        <f t="shared" si="33"/>
        <v>1</v>
      </c>
      <c r="L550" s="11" t="str">
        <f t="shared" si="34"/>
        <v>B</v>
      </c>
      <c r="M550" s="10" t="str">
        <f t="shared" si="35"/>
        <v>Desaprobado</v>
      </c>
      <c r="N550" s="14">
        <v>0.45</v>
      </c>
    </row>
    <row r="551" spans="1:14" x14ac:dyDescent="0.25">
      <c r="A551" s="12" t="s">
        <v>75</v>
      </c>
      <c r="B551" s="12" t="s">
        <v>86</v>
      </c>
      <c r="C551" s="12" t="s">
        <v>76</v>
      </c>
      <c r="D551" s="12" t="s">
        <v>17</v>
      </c>
      <c r="E551" s="12">
        <v>0</v>
      </c>
      <c r="F551" s="12">
        <v>3</v>
      </c>
      <c r="G551" s="12">
        <v>1</v>
      </c>
      <c r="H551" s="12">
        <v>2</v>
      </c>
      <c r="I551" s="12">
        <v>1</v>
      </c>
      <c r="J551" s="12">
        <f t="shared" si="32"/>
        <v>1.4</v>
      </c>
      <c r="K551" s="12">
        <f t="shared" si="33"/>
        <v>1</v>
      </c>
      <c r="L551" s="13" t="str">
        <f t="shared" si="34"/>
        <v>B</v>
      </c>
      <c r="M551" s="12" t="str">
        <f t="shared" si="35"/>
        <v>Desaprobado</v>
      </c>
      <c r="N551" s="15">
        <v>0.2</v>
      </c>
    </row>
    <row r="552" spans="1:14" x14ac:dyDescent="0.25">
      <c r="A552" s="10" t="s">
        <v>77</v>
      </c>
      <c r="B552" s="10" t="s">
        <v>86</v>
      </c>
      <c r="C552" s="10" t="s">
        <v>78</v>
      </c>
      <c r="D552" s="10" t="s">
        <v>17</v>
      </c>
      <c r="E552" s="10">
        <v>1</v>
      </c>
      <c r="F552" s="10">
        <v>1</v>
      </c>
      <c r="G552" s="10">
        <v>2</v>
      </c>
      <c r="H552" s="10">
        <v>0</v>
      </c>
      <c r="I552" s="10">
        <v>3</v>
      </c>
      <c r="J552" s="10">
        <f t="shared" si="32"/>
        <v>1.4</v>
      </c>
      <c r="K552" s="10">
        <f t="shared" si="33"/>
        <v>1</v>
      </c>
      <c r="L552" s="11" t="str">
        <f t="shared" si="34"/>
        <v>B</v>
      </c>
      <c r="M552" s="10" t="str">
        <f t="shared" si="35"/>
        <v>Desaprobado</v>
      </c>
      <c r="N552" s="14">
        <v>0.95</v>
      </c>
    </row>
    <row r="553" spans="1:14" x14ac:dyDescent="0.25">
      <c r="A553" s="12" t="s">
        <v>14</v>
      </c>
      <c r="B553" s="12" t="s">
        <v>86</v>
      </c>
      <c r="C553" s="12" t="s">
        <v>16</v>
      </c>
      <c r="D553" s="12" t="s">
        <v>79</v>
      </c>
      <c r="E553" s="12">
        <v>3</v>
      </c>
      <c r="F553" s="12">
        <v>3</v>
      </c>
      <c r="G553" s="12">
        <v>0</v>
      </c>
      <c r="H553" s="12">
        <v>1</v>
      </c>
      <c r="I553" s="12">
        <v>3</v>
      </c>
      <c r="J553" s="12">
        <f t="shared" si="32"/>
        <v>2</v>
      </c>
      <c r="K553" s="12">
        <f t="shared" si="33"/>
        <v>2</v>
      </c>
      <c r="L553" s="13" t="str">
        <f t="shared" si="34"/>
        <v>A</v>
      </c>
      <c r="M553" s="12" t="str">
        <f t="shared" si="35"/>
        <v>Aprobado</v>
      </c>
      <c r="N553" s="15">
        <v>0.8</v>
      </c>
    </row>
    <row r="554" spans="1:14" x14ac:dyDescent="0.25">
      <c r="A554" s="10" t="s">
        <v>19</v>
      </c>
      <c r="B554" s="10" t="s">
        <v>86</v>
      </c>
      <c r="C554" s="10" t="s">
        <v>20</v>
      </c>
      <c r="D554" s="10" t="s">
        <v>79</v>
      </c>
      <c r="E554" s="10">
        <v>2</v>
      </c>
      <c r="F554" s="10">
        <v>0</v>
      </c>
      <c r="G554" s="10">
        <v>1</v>
      </c>
      <c r="H554" s="10">
        <v>1</v>
      </c>
      <c r="I554" s="10">
        <v>2</v>
      </c>
      <c r="J554" s="10">
        <f t="shared" si="32"/>
        <v>1.2</v>
      </c>
      <c r="K554" s="10">
        <f t="shared" si="33"/>
        <v>1</v>
      </c>
      <c r="L554" s="11" t="str">
        <f t="shared" si="34"/>
        <v>B</v>
      </c>
      <c r="M554" s="10" t="str">
        <f t="shared" si="35"/>
        <v>Desaprobado</v>
      </c>
      <c r="N554" s="14">
        <v>0.25</v>
      </c>
    </row>
    <row r="555" spans="1:14" x14ac:dyDescent="0.25">
      <c r="A555" s="12" t="s">
        <v>22</v>
      </c>
      <c r="B555" s="12" t="s">
        <v>86</v>
      </c>
      <c r="C555" s="12" t="s">
        <v>23</v>
      </c>
      <c r="D555" s="12" t="s">
        <v>79</v>
      </c>
      <c r="E555" s="12">
        <v>1</v>
      </c>
      <c r="F555" s="12">
        <v>1</v>
      </c>
      <c r="G555" s="12">
        <v>3</v>
      </c>
      <c r="H555" s="12">
        <v>2</v>
      </c>
      <c r="I555" s="12">
        <v>3</v>
      </c>
      <c r="J555" s="12">
        <f t="shared" si="32"/>
        <v>2</v>
      </c>
      <c r="K555" s="12">
        <f t="shared" si="33"/>
        <v>2</v>
      </c>
      <c r="L555" s="13" t="str">
        <f t="shared" si="34"/>
        <v>A</v>
      </c>
      <c r="M555" s="12" t="str">
        <f t="shared" si="35"/>
        <v>Aprobado</v>
      </c>
      <c r="N555" s="15">
        <v>0.4</v>
      </c>
    </row>
    <row r="556" spans="1:14" x14ac:dyDescent="0.25">
      <c r="A556" s="10" t="s">
        <v>25</v>
      </c>
      <c r="B556" s="10" t="s">
        <v>86</v>
      </c>
      <c r="C556" s="10" t="s">
        <v>26</v>
      </c>
      <c r="D556" s="10" t="s">
        <v>79</v>
      </c>
      <c r="E556" s="10">
        <v>2</v>
      </c>
      <c r="F556" s="10">
        <v>0</v>
      </c>
      <c r="G556" s="10">
        <v>3</v>
      </c>
      <c r="H556" s="10">
        <v>0</v>
      </c>
      <c r="I556" s="10">
        <v>3</v>
      </c>
      <c r="J556" s="10">
        <f t="shared" si="32"/>
        <v>1.6</v>
      </c>
      <c r="K556" s="10">
        <f t="shared" si="33"/>
        <v>2</v>
      </c>
      <c r="L556" s="11" t="str">
        <f t="shared" si="34"/>
        <v>A</v>
      </c>
      <c r="M556" s="10" t="str">
        <f t="shared" si="35"/>
        <v>Aprobado</v>
      </c>
      <c r="N556" s="14">
        <v>0.4</v>
      </c>
    </row>
    <row r="557" spans="1:14" x14ac:dyDescent="0.25">
      <c r="A557" s="12" t="s">
        <v>28</v>
      </c>
      <c r="B557" s="12" t="s">
        <v>86</v>
      </c>
      <c r="C557" s="12" t="s">
        <v>29</v>
      </c>
      <c r="D557" s="12" t="s">
        <v>79</v>
      </c>
      <c r="E557" s="12">
        <v>2</v>
      </c>
      <c r="F557" s="12">
        <v>1</v>
      </c>
      <c r="G557" s="12">
        <v>3</v>
      </c>
      <c r="H557" s="12">
        <v>0</v>
      </c>
      <c r="I557" s="12">
        <v>0</v>
      </c>
      <c r="J557" s="12">
        <f t="shared" si="32"/>
        <v>1.2</v>
      </c>
      <c r="K557" s="12">
        <f t="shared" si="33"/>
        <v>1</v>
      </c>
      <c r="L557" s="13" t="str">
        <f t="shared" si="34"/>
        <v>B</v>
      </c>
      <c r="M557" s="12" t="str">
        <f t="shared" si="35"/>
        <v>Desaprobado</v>
      </c>
      <c r="N557" s="15">
        <v>0.5</v>
      </c>
    </row>
    <row r="558" spans="1:14" x14ac:dyDescent="0.25">
      <c r="A558" s="10" t="s">
        <v>31</v>
      </c>
      <c r="B558" s="10" t="s">
        <v>86</v>
      </c>
      <c r="C558" s="10" t="s">
        <v>32</v>
      </c>
      <c r="D558" s="10" t="s">
        <v>79</v>
      </c>
      <c r="E558" s="10">
        <v>2</v>
      </c>
      <c r="F558" s="10">
        <v>0</v>
      </c>
      <c r="G558" s="10">
        <v>1</v>
      </c>
      <c r="H558" s="10">
        <v>0</v>
      </c>
      <c r="I558" s="10">
        <v>0</v>
      </c>
      <c r="J558" s="10">
        <f t="shared" si="32"/>
        <v>0.6</v>
      </c>
      <c r="K558" s="10">
        <f t="shared" si="33"/>
        <v>1</v>
      </c>
      <c r="L558" s="11" t="str">
        <f t="shared" si="34"/>
        <v>B</v>
      </c>
      <c r="M558" s="10" t="str">
        <f t="shared" si="35"/>
        <v>Desaprobado</v>
      </c>
      <c r="N558" s="14">
        <v>0.7</v>
      </c>
    </row>
    <row r="559" spans="1:14" x14ac:dyDescent="0.25">
      <c r="A559" s="12" t="s">
        <v>33</v>
      </c>
      <c r="B559" s="12" t="s">
        <v>86</v>
      </c>
      <c r="C559" s="12" t="s">
        <v>34</v>
      </c>
      <c r="D559" s="12" t="s">
        <v>79</v>
      </c>
      <c r="E559" s="12">
        <v>2</v>
      </c>
      <c r="F559" s="12">
        <v>1</v>
      </c>
      <c r="G559" s="12">
        <v>3</v>
      </c>
      <c r="H559" s="12">
        <v>1</v>
      </c>
      <c r="I559" s="12">
        <v>0</v>
      </c>
      <c r="J559" s="12">
        <f t="shared" si="32"/>
        <v>1.4</v>
      </c>
      <c r="K559" s="12">
        <f t="shared" si="33"/>
        <v>1</v>
      </c>
      <c r="L559" s="13" t="str">
        <f t="shared" si="34"/>
        <v>B</v>
      </c>
      <c r="M559" s="12" t="str">
        <f t="shared" si="35"/>
        <v>Desaprobado</v>
      </c>
      <c r="N559" s="15">
        <v>0.7</v>
      </c>
    </row>
    <row r="560" spans="1:14" x14ac:dyDescent="0.25">
      <c r="A560" s="10" t="s">
        <v>35</v>
      </c>
      <c r="B560" s="10" t="s">
        <v>86</v>
      </c>
      <c r="C560" s="10" t="s">
        <v>36</v>
      </c>
      <c r="D560" s="10" t="s">
        <v>79</v>
      </c>
      <c r="E560" s="10">
        <v>0</v>
      </c>
      <c r="F560" s="10">
        <v>1</v>
      </c>
      <c r="G560" s="10">
        <v>1</v>
      </c>
      <c r="H560" s="10">
        <v>2</v>
      </c>
      <c r="I560" s="10">
        <v>0</v>
      </c>
      <c r="J560" s="10">
        <f t="shared" si="32"/>
        <v>0.8</v>
      </c>
      <c r="K560" s="10">
        <f t="shared" si="33"/>
        <v>1</v>
      </c>
      <c r="L560" s="11" t="str">
        <f t="shared" si="34"/>
        <v>B</v>
      </c>
      <c r="M560" s="10" t="str">
        <f t="shared" si="35"/>
        <v>Desaprobado</v>
      </c>
      <c r="N560" s="14">
        <v>0.85</v>
      </c>
    </row>
    <row r="561" spans="1:14" x14ac:dyDescent="0.25">
      <c r="A561" s="12" t="s">
        <v>37</v>
      </c>
      <c r="B561" s="12" t="s">
        <v>86</v>
      </c>
      <c r="C561" s="12" t="s">
        <v>38</v>
      </c>
      <c r="D561" s="12" t="s">
        <v>79</v>
      </c>
      <c r="E561" s="12">
        <v>2</v>
      </c>
      <c r="F561" s="12">
        <v>0</v>
      </c>
      <c r="G561" s="12">
        <v>2</v>
      </c>
      <c r="H561" s="12">
        <v>2</v>
      </c>
      <c r="I561" s="12">
        <v>0</v>
      </c>
      <c r="J561" s="12">
        <f t="shared" si="32"/>
        <v>1.2</v>
      </c>
      <c r="K561" s="12">
        <f t="shared" si="33"/>
        <v>1</v>
      </c>
      <c r="L561" s="13" t="str">
        <f t="shared" si="34"/>
        <v>B</v>
      </c>
      <c r="M561" s="12" t="str">
        <f t="shared" si="35"/>
        <v>Desaprobado</v>
      </c>
      <c r="N561" s="15">
        <v>0.2</v>
      </c>
    </row>
    <row r="562" spans="1:14" x14ac:dyDescent="0.25">
      <c r="A562" s="10" t="s">
        <v>39</v>
      </c>
      <c r="B562" s="10" t="s">
        <v>86</v>
      </c>
      <c r="C562" s="10" t="s">
        <v>40</v>
      </c>
      <c r="D562" s="10" t="s">
        <v>79</v>
      </c>
      <c r="E562" s="10">
        <v>2</v>
      </c>
      <c r="F562" s="10">
        <v>0</v>
      </c>
      <c r="G562" s="10">
        <v>2</v>
      </c>
      <c r="H562" s="10">
        <v>0</v>
      </c>
      <c r="I562" s="10">
        <v>1</v>
      </c>
      <c r="J562" s="10">
        <f t="shared" si="32"/>
        <v>1</v>
      </c>
      <c r="K562" s="10">
        <f t="shared" si="33"/>
        <v>1</v>
      </c>
      <c r="L562" s="11" t="str">
        <f t="shared" si="34"/>
        <v>B</v>
      </c>
      <c r="M562" s="10" t="str">
        <f t="shared" si="35"/>
        <v>Desaprobado</v>
      </c>
      <c r="N562" s="14">
        <v>0.65</v>
      </c>
    </row>
    <row r="563" spans="1:14" x14ac:dyDescent="0.25">
      <c r="A563" s="12" t="s">
        <v>41</v>
      </c>
      <c r="B563" s="12" t="s">
        <v>86</v>
      </c>
      <c r="C563" s="12" t="s">
        <v>42</v>
      </c>
      <c r="D563" s="12" t="s">
        <v>79</v>
      </c>
      <c r="E563" s="12">
        <v>3</v>
      </c>
      <c r="F563" s="12">
        <v>2</v>
      </c>
      <c r="G563" s="12">
        <v>3</v>
      </c>
      <c r="H563" s="12">
        <v>1</v>
      </c>
      <c r="I563" s="12">
        <v>3</v>
      </c>
      <c r="J563" s="12">
        <f t="shared" si="32"/>
        <v>2.4</v>
      </c>
      <c r="K563" s="12">
        <f t="shared" si="33"/>
        <v>2</v>
      </c>
      <c r="L563" s="13" t="str">
        <f t="shared" si="34"/>
        <v>A</v>
      </c>
      <c r="M563" s="12" t="str">
        <f t="shared" si="35"/>
        <v>Aprobado</v>
      </c>
      <c r="N563" s="15">
        <v>0.7</v>
      </c>
    </row>
    <row r="564" spans="1:14" x14ac:dyDescent="0.25">
      <c r="A564" s="10" t="s">
        <v>43</v>
      </c>
      <c r="B564" s="10" t="s">
        <v>86</v>
      </c>
      <c r="C564" s="10" t="s">
        <v>44</v>
      </c>
      <c r="D564" s="10" t="s">
        <v>79</v>
      </c>
      <c r="E564" s="10">
        <v>2</v>
      </c>
      <c r="F564" s="10">
        <v>2</v>
      </c>
      <c r="G564" s="10">
        <v>3</v>
      </c>
      <c r="H564" s="10">
        <v>2</v>
      </c>
      <c r="I564" s="10">
        <v>3</v>
      </c>
      <c r="J564" s="10">
        <f t="shared" si="32"/>
        <v>2.4</v>
      </c>
      <c r="K564" s="10">
        <f t="shared" si="33"/>
        <v>2</v>
      </c>
      <c r="L564" s="11" t="str">
        <f t="shared" si="34"/>
        <v>A</v>
      </c>
      <c r="M564" s="10" t="str">
        <f t="shared" si="35"/>
        <v>Aprobado</v>
      </c>
      <c r="N564" s="14">
        <v>0.9</v>
      </c>
    </row>
    <row r="565" spans="1:14" x14ac:dyDescent="0.25">
      <c r="A565" s="12" t="s">
        <v>45</v>
      </c>
      <c r="B565" s="12" t="s">
        <v>86</v>
      </c>
      <c r="C565" s="12" t="s">
        <v>46</v>
      </c>
      <c r="D565" s="12" t="s">
        <v>79</v>
      </c>
      <c r="E565" s="12">
        <v>2</v>
      </c>
      <c r="F565" s="12">
        <v>0</v>
      </c>
      <c r="G565" s="12">
        <v>0</v>
      </c>
      <c r="H565" s="12">
        <v>3</v>
      </c>
      <c r="I565" s="12">
        <v>0</v>
      </c>
      <c r="J565" s="12">
        <f t="shared" si="32"/>
        <v>1</v>
      </c>
      <c r="K565" s="12">
        <f t="shared" si="33"/>
        <v>1</v>
      </c>
      <c r="L565" s="13" t="str">
        <f t="shared" si="34"/>
        <v>B</v>
      </c>
      <c r="M565" s="12" t="str">
        <f t="shared" si="35"/>
        <v>Desaprobado</v>
      </c>
      <c r="N565" s="15">
        <v>0.7</v>
      </c>
    </row>
    <row r="566" spans="1:14" x14ac:dyDescent="0.25">
      <c r="A566" s="10" t="s">
        <v>47</v>
      </c>
      <c r="B566" s="10" t="s">
        <v>86</v>
      </c>
      <c r="C566" s="10" t="s">
        <v>48</v>
      </c>
      <c r="D566" s="10" t="s">
        <v>79</v>
      </c>
      <c r="E566" s="10">
        <v>1</v>
      </c>
      <c r="F566" s="10">
        <v>1</v>
      </c>
      <c r="G566" s="10">
        <v>2</v>
      </c>
      <c r="H566" s="10">
        <v>2</v>
      </c>
      <c r="I566" s="10">
        <v>2</v>
      </c>
      <c r="J566" s="10">
        <f t="shared" si="32"/>
        <v>1.6</v>
      </c>
      <c r="K566" s="10">
        <f t="shared" si="33"/>
        <v>2</v>
      </c>
      <c r="L566" s="11" t="str">
        <f t="shared" si="34"/>
        <v>A</v>
      </c>
      <c r="M566" s="10" t="str">
        <f t="shared" si="35"/>
        <v>Aprobado</v>
      </c>
      <c r="N566" s="14">
        <v>0.95</v>
      </c>
    </row>
    <row r="567" spans="1:14" x14ac:dyDescent="0.25">
      <c r="A567" s="12" t="s">
        <v>49</v>
      </c>
      <c r="B567" s="12" t="s">
        <v>86</v>
      </c>
      <c r="C567" s="12" t="s">
        <v>50</v>
      </c>
      <c r="D567" s="12" t="s">
        <v>79</v>
      </c>
      <c r="E567" s="12">
        <v>3</v>
      </c>
      <c r="F567" s="12">
        <v>3</v>
      </c>
      <c r="G567" s="12">
        <v>2</v>
      </c>
      <c r="H567" s="12">
        <v>3</v>
      </c>
      <c r="I567" s="12">
        <v>1</v>
      </c>
      <c r="J567" s="12">
        <f t="shared" si="32"/>
        <v>2.4</v>
      </c>
      <c r="K567" s="12">
        <f t="shared" si="33"/>
        <v>2</v>
      </c>
      <c r="L567" s="13" t="str">
        <f t="shared" si="34"/>
        <v>A</v>
      </c>
      <c r="M567" s="12" t="str">
        <f t="shared" si="35"/>
        <v>Aprobado</v>
      </c>
      <c r="N567" s="15">
        <v>0.6</v>
      </c>
    </row>
    <row r="568" spans="1:14" x14ac:dyDescent="0.25">
      <c r="A568" s="10" t="s">
        <v>51</v>
      </c>
      <c r="B568" s="10" t="s">
        <v>86</v>
      </c>
      <c r="C568" s="10" t="s">
        <v>52</v>
      </c>
      <c r="D568" s="10" t="s">
        <v>79</v>
      </c>
      <c r="E568" s="10">
        <v>1</v>
      </c>
      <c r="F568" s="10">
        <v>2</v>
      </c>
      <c r="G568" s="10">
        <v>2</v>
      </c>
      <c r="H568" s="10">
        <v>0</v>
      </c>
      <c r="I568" s="10">
        <v>0</v>
      </c>
      <c r="J568" s="10">
        <f t="shared" si="32"/>
        <v>1</v>
      </c>
      <c r="K568" s="10">
        <f t="shared" si="33"/>
        <v>1</v>
      </c>
      <c r="L568" s="11" t="str">
        <f t="shared" si="34"/>
        <v>B</v>
      </c>
      <c r="M568" s="10" t="str">
        <f t="shared" si="35"/>
        <v>Desaprobado</v>
      </c>
      <c r="N568" s="14">
        <v>0.1</v>
      </c>
    </row>
    <row r="569" spans="1:14" x14ac:dyDescent="0.25">
      <c r="A569" s="12" t="s">
        <v>53</v>
      </c>
      <c r="B569" s="12" t="s">
        <v>86</v>
      </c>
      <c r="C569" s="12" t="s">
        <v>54</v>
      </c>
      <c r="D569" s="12" t="s">
        <v>79</v>
      </c>
      <c r="E569" s="12">
        <v>1</v>
      </c>
      <c r="F569" s="12">
        <v>2</v>
      </c>
      <c r="G569" s="12">
        <v>3</v>
      </c>
      <c r="H569" s="12">
        <v>2</v>
      </c>
      <c r="I569" s="12">
        <v>3</v>
      </c>
      <c r="J569" s="12">
        <f t="shared" si="32"/>
        <v>2.2000000000000002</v>
      </c>
      <c r="K569" s="12">
        <f t="shared" si="33"/>
        <v>2</v>
      </c>
      <c r="L569" s="13" t="str">
        <f t="shared" si="34"/>
        <v>A</v>
      </c>
      <c r="M569" s="12" t="str">
        <f t="shared" si="35"/>
        <v>Aprobado</v>
      </c>
      <c r="N569" s="15">
        <v>0.9</v>
      </c>
    </row>
    <row r="570" spans="1:14" x14ac:dyDescent="0.25">
      <c r="A570" s="10" t="s">
        <v>55</v>
      </c>
      <c r="B570" s="10" t="s">
        <v>86</v>
      </c>
      <c r="C570" s="10" t="s">
        <v>56</v>
      </c>
      <c r="D570" s="10" t="s">
        <v>79</v>
      </c>
      <c r="E570" s="10">
        <v>1</v>
      </c>
      <c r="F570" s="10">
        <v>1</v>
      </c>
      <c r="G570" s="10">
        <v>1</v>
      </c>
      <c r="H570" s="10">
        <v>1</v>
      </c>
      <c r="I570" s="10">
        <v>1</v>
      </c>
      <c r="J570" s="10">
        <f t="shared" si="32"/>
        <v>1</v>
      </c>
      <c r="K570" s="10">
        <f t="shared" si="33"/>
        <v>1</v>
      </c>
      <c r="L570" s="11" t="str">
        <f t="shared" si="34"/>
        <v>B</v>
      </c>
      <c r="M570" s="10" t="str">
        <f t="shared" si="35"/>
        <v>Desaprobado</v>
      </c>
      <c r="N570" s="14">
        <v>0.95</v>
      </c>
    </row>
    <row r="571" spans="1:14" x14ac:dyDescent="0.25">
      <c r="A571" s="12" t="s">
        <v>57</v>
      </c>
      <c r="B571" s="12" t="s">
        <v>86</v>
      </c>
      <c r="C571" s="12" t="s">
        <v>58</v>
      </c>
      <c r="D571" s="12" t="s">
        <v>79</v>
      </c>
      <c r="E571" s="12">
        <v>3</v>
      </c>
      <c r="F571" s="12">
        <v>2</v>
      </c>
      <c r="G571" s="12">
        <v>2</v>
      </c>
      <c r="H571" s="12">
        <v>2</v>
      </c>
      <c r="I571" s="12">
        <v>1</v>
      </c>
      <c r="J571" s="12">
        <f t="shared" si="32"/>
        <v>2</v>
      </c>
      <c r="K571" s="12">
        <f t="shared" si="33"/>
        <v>2</v>
      </c>
      <c r="L571" s="13" t="str">
        <f t="shared" si="34"/>
        <v>A</v>
      </c>
      <c r="M571" s="12" t="str">
        <f t="shared" si="35"/>
        <v>Aprobado</v>
      </c>
      <c r="N571" s="15">
        <v>0.75</v>
      </c>
    </row>
    <row r="572" spans="1:14" x14ac:dyDescent="0.25">
      <c r="A572" s="10" t="s">
        <v>59</v>
      </c>
      <c r="B572" s="10" t="s">
        <v>86</v>
      </c>
      <c r="C572" s="10" t="s">
        <v>60</v>
      </c>
      <c r="D572" s="10" t="s">
        <v>79</v>
      </c>
      <c r="E572" s="10">
        <v>2</v>
      </c>
      <c r="F572" s="10">
        <v>2</v>
      </c>
      <c r="G572" s="10">
        <v>0</v>
      </c>
      <c r="H572" s="10">
        <v>1</v>
      </c>
      <c r="I572" s="10">
        <v>0</v>
      </c>
      <c r="J572" s="10">
        <f t="shared" si="32"/>
        <v>1</v>
      </c>
      <c r="K572" s="10">
        <f t="shared" si="33"/>
        <v>1</v>
      </c>
      <c r="L572" s="11" t="str">
        <f t="shared" si="34"/>
        <v>B</v>
      </c>
      <c r="M572" s="10" t="str">
        <f t="shared" si="35"/>
        <v>Desaprobado</v>
      </c>
      <c r="N572" s="14">
        <v>0.2</v>
      </c>
    </row>
    <row r="573" spans="1:14" x14ac:dyDescent="0.25">
      <c r="A573" s="12" t="s">
        <v>61</v>
      </c>
      <c r="B573" s="12" t="s">
        <v>86</v>
      </c>
      <c r="C573" s="12" t="s">
        <v>62</v>
      </c>
      <c r="D573" s="12" t="s">
        <v>79</v>
      </c>
      <c r="E573" s="12">
        <v>1</v>
      </c>
      <c r="F573" s="12">
        <v>0</v>
      </c>
      <c r="G573" s="12">
        <v>3</v>
      </c>
      <c r="H573" s="12">
        <v>2</v>
      </c>
      <c r="I573" s="12">
        <v>0</v>
      </c>
      <c r="J573" s="12">
        <f t="shared" si="32"/>
        <v>1.2</v>
      </c>
      <c r="K573" s="12">
        <f t="shared" si="33"/>
        <v>1</v>
      </c>
      <c r="L573" s="13" t="str">
        <f t="shared" si="34"/>
        <v>B</v>
      </c>
      <c r="M573" s="12" t="str">
        <f t="shared" si="35"/>
        <v>Desaprobado</v>
      </c>
      <c r="N573" s="15">
        <v>0.95</v>
      </c>
    </row>
    <row r="574" spans="1:14" x14ac:dyDescent="0.25">
      <c r="A574" s="10" t="s">
        <v>63</v>
      </c>
      <c r="B574" s="10" t="s">
        <v>86</v>
      </c>
      <c r="C574" s="10" t="s">
        <v>64</v>
      </c>
      <c r="D574" s="10" t="s">
        <v>79</v>
      </c>
      <c r="E574" s="10">
        <v>1</v>
      </c>
      <c r="F574" s="10">
        <v>0</v>
      </c>
      <c r="G574" s="10">
        <v>1</v>
      </c>
      <c r="H574" s="10">
        <v>3</v>
      </c>
      <c r="I574" s="10">
        <v>3</v>
      </c>
      <c r="J574" s="10">
        <f t="shared" si="32"/>
        <v>1.6</v>
      </c>
      <c r="K574" s="10">
        <f t="shared" si="33"/>
        <v>2</v>
      </c>
      <c r="L574" s="11" t="str">
        <f t="shared" si="34"/>
        <v>A</v>
      </c>
      <c r="M574" s="10" t="str">
        <f t="shared" si="35"/>
        <v>Aprobado</v>
      </c>
      <c r="N574" s="14">
        <v>0.8</v>
      </c>
    </row>
    <row r="575" spans="1:14" x14ac:dyDescent="0.25">
      <c r="A575" s="12" t="s">
        <v>65</v>
      </c>
      <c r="B575" s="12" t="s">
        <v>86</v>
      </c>
      <c r="C575" s="12" t="s">
        <v>66</v>
      </c>
      <c r="D575" s="12" t="s">
        <v>79</v>
      </c>
      <c r="E575" s="12">
        <v>3</v>
      </c>
      <c r="F575" s="12">
        <v>1</v>
      </c>
      <c r="G575" s="12">
        <v>1</v>
      </c>
      <c r="H575" s="12">
        <v>3</v>
      </c>
      <c r="I575" s="12">
        <v>2</v>
      </c>
      <c r="J575" s="12">
        <f t="shared" si="32"/>
        <v>2</v>
      </c>
      <c r="K575" s="12">
        <f t="shared" si="33"/>
        <v>2</v>
      </c>
      <c r="L575" s="13" t="str">
        <f t="shared" si="34"/>
        <v>A</v>
      </c>
      <c r="M575" s="12" t="str">
        <f t="shared" si="35"/>
        <v>Aprobado</v>
      </c>
      <c r="N575" s="15">
        <v>0.25</v>
      </c>
    </row>
    <row r="576" spans="1:14" x14ac:dyDescent="0.25">
      <c r="A576" s="10" t="s">
        <v>67</v>
      </c>
      <c r="B576" s="10" t="s">
        <v>86</v>
      </c>
      <c r="C576" s="10" t="s">
        <v>68</v>
      </c>
      <c r="D576" s="10" t="s">
        <v>79</v>
      </c>
      <c r="E576" s="10">
        <v>0</v>
      </c>
      <c r="F576" s="10">
        <v>1</v>
      </c>
      <c r="G576" s="10">
        <v>0</v>
      </c>
      <c r="H576" s="10">
        <v>3</v>
      </c>
      <c r="I576" s="10">
        <v>0</v>
      </c>
      <c r="J576" s="10">
        <f t="shared" si="32"/>
        <v>0.8</v>
      </c>
      <c r="K576" s="10">
        <f t="shared" si="33"/>
        <v>1</v>
      </c>
      <c r="L576" s="11" t="str">
        <f t="shared" si="34"/>
        <v>B</v>
      </c>
      <c r="M576" s="10" t="str">
        <f t="shared" si="35"/>
        <v>Desaprobado</v>
      </c>
      <c r="N576" s="14">
        <v>0.4</v>
      </c>
    </row>
    <row r="577" spans="1:14" x14ac:dyDescent="0.25">
      <c r="A577" s="12" t="s">
        <v>69</v>
      </c>
      <c r="B577" s="12" t="s">
        <v>86</v>
      </c>
      <c r="C577" s="12" t="s">
        <v>70</v>
      </c>
      <c r="D577" s="12" t="s">
        <v>79</v>
      </c>
      <c r="E577" s="12">
        <v>3</v>
      </c>
      <c r="F577" s="12">
        <v>0</v>
      </c>
      <c r="G577" s="12">
        <v>2</v>
      </c>
      <c r="H577" s="12">
        <v>0</v>
      </c>
      <c r="I577" s="12">
        <v>1</v>
      </c>
      <c r="J577" s="12">
        <f t="shared" si="32"/>
        <v>1.2</v>
      </c>
      <c r="K577" s="12">
        <f t="shared" si="33"/>
        <v>1</v>
      </c>
      <c r="L577" s="13" t="str">
        <f t="shared" si="34"/>
        <v>B</v>
      </c>
      <c r="M577" s="12" t="str">
        <f t="shared" si="35"/>
        <v>Desaprobado</v>
      </c>
      <c r="N577" s="15">
        <v>0.4</v>
      </c>
    </row>
    <row r="578" spans="1:14" x14ac:dyDescent="0.25">
      <c r="A578" s="10" t="s">
        <v>71</v>
      </c>
      <c r="B578" s="10" t="s">
        <v>86</v>
      </c>
      <c r="C578" s="10" t="s">
        <v>72</v>
      </c>
      <c r="D578" s="10" t="s">
        <v>79</v>
      </c>
      <c r="E578" s="10">
        <v>0</v>
      </c>
      <c r="F578" s="10">
        <v>3</v>
      </c>
      <c r="G578" s="10">
        <v>0</v>
      </c>
      <c r="H578" s="10">
        <v>1</v>
      </c>
      <c r="I578" s="10">
        <v>2</v>
      </c>
      <c r="J578" s="10">
        <f t="shared" si="32"/>
        <v>1.2</v>
      </c>
      <c r="K578" s="10">
        <f t="shared" si="33"/>
        <v>1</v>
      </c>
      <c r="L578" s="11" t="str">
        <f t="shared" si="34"/>
        <v>B</v>
      </c>
      <c r="M578" s="10" t="str">
        <f t="shared" si="35"/>
        <v>Desaprobado</v>
      </c>
      <c r="N578" s="14">
        <v>0.5</v>
      </c>
    </row>
    <row r="579" spans="1:14" x14ac:dyDescent="0.25">
      <c r="A579" s="12" t="s">
        <v>73</v>
      </c>
      <c r="B579" s="12" t="s">
        <v>86</v>
      </c>
      <c r="C579" s="12" t="s">
        <v>74</v>
      </c>
      <c r="D579" s="12" t="s">
        <v>79</v>
      </c>
      <c r="E579" s="12">
        <v>3</v>
      </c>
      <c r="F579" s="12">
        <v>3</v>
      </c>
      <c r="G579" s="12">
        <v>2</v>
      </c>
      <c r="H579" s="12">
        <v>3</v>
      </c>
      <c r="I579" s="12">
        <v>1</v>
      </c>
      <c r="J579" s="12">
        <f t="shared" ref="J579:J642" si="36">+AVERAGE(E579:I579)</f>
        <v>2.4</v>
      </c>
      <c r="K579" s="12">
        <f t="shared" ref="K579:K642" si="37">+ROUND(J579,0)</f>
        <v>2</v>
      </c>
      <c r="L579" s="13" t="str">
        <f t="shared" ref="L579:L642" si="38">+_xlfn.XLOOKUP(K579,$R$3:$R$6,$S$3:$S$6)</f>
        <v>A</v>
      </c>
      <c r="M579" s="12" t="str">
        <f t="shared" ref="M579:M642" si="39">+IF(OR(L579="AD",L579="A"),"Aprobado","Desaprobado")</f>
        <v>Aprobado</v>
      </c>
      <c r="N579" s="15">
        <v>0.7</v>
      </c>
    </row>
    <row r="580" spans="1:14" x14ac:dyDescent="0.25">
      <c r="A580" s="10" t="s">
        <v>75</v>
      </c>
      <c r="B580" s="10" t="s">
        <v>86</v>
      </c>
      <c r="C580" s="10" t="s">
        <v>76</v>
      </c>
      <c r="D580" s="10" t="s">
        <v>79</v>
      </c>
      <c r="E580" s="10">
        <v>2</v>
      </c>
      <c r="F580" s="10">
        <v>0</v>
      </c>
      <c r="G580" s="10">
        <v>0</v>
      </c>
      <c r="H580" s="10">
        <v>0</v>
      </c>
      <c r="I580" s="10">
        <v>3</v>
      </c>
      <c r="J580" s="10">
        <f t="shared" si="36"/>
        <v>1</v>
      </c>
      <c r="K580" s="10">
        <f t="shared" si="37"/>
        <v>1</v>
      </c>
      <c r="L580" s="11" t="str">
        <f t="shared" si="38"/>
        <v>B</v>
      </c>
      <c r="M580" s="10" t="str">
        <f t="shared" si="39"/>
        <v>Desaprobado</v>
      </c>
      <c r="N580" s="14">
        <v>0.9</v>
      </c>
    </row>
    <row r="581" spans="1:14" x14ac:dyDescent="0.25">
      <c r="A581" s="12" t="s">
        <v>77</v>
      </c>
      <c r="B581" s="12" t="s">
        <v>86</v>
      </c>
      <c r="C581" s="12" t="s">
        <v>78</v>
      </c>
      <c r="D581" s="12" t="s">
        <v>79</v>
      </c>
      <c r="E581" s="12">
        <v>1</v>
      </c>
      <c r="F581" s="12">
        <v>2</v>
      </c>
      <c r="G581" s="12">
        <v>0</v>
      </c>
      <c r="H581" s="12">
        <v>3</v>
      </c>
      <c r="I581" s="12">
        <v>3</v>
      </c>
      <c r="J581" s="12">
        <f t="shared" si="36"/>
        <v>1.8</v>
      </c>
      <c r="K581" s="12">
        <f t="shared" si="37"/>
        <v>2</v>
      </c>
      <c r="L581" s="13" t="str">
        <f t="shared" si="38"/>
        <v>A</v>
      </c>
      <c r="M581" s="12" t="str">
        <f t="shared" si="39"/>
        <v>Aprobado</v>
      </c>
      <c r="N581" s="15">
        <v>0.25</v>
      </c>
    </row>
    <row r="582" spans="1:14" x14ac:dyDescent="0.25">
      <c r="A582" s="10" t="s">
        <v>14</v>
      </c>
      <c r="B582" s="10" t="s">
        <v>86</v>
      </c>
      <c r="C582" s="10" t="s">
        <v>16</v>
      </c>
      <c r="D582" s="10" t="s">
        <v>80</v>
      </c>
      <c r="E582" s="10">
        <v>2</v>
      </c>
      <c r="F582" s="10">
        <v>1</v>
      </c>
      <c r="G582" s="10">
        <v>3</v>
      </c>
      <c r="H582" s="10">
        <v>2</v>
      </c>
      <c r="I582" s="10">
        <v>0</v>
      </c>
      <c r="J582" s="10">
        <f t="shared" si="36"/>
        <v>1.6</v>
      </c>
      <c r="K582" s="10">
        <f t="shared" si="37"/>
        <v>2</v>
      </c>
      <c r="L582" s="11" t="str">
        <f t="shared" si="38"/>
        <v>A</v>
      </c>
      <c r="M582" s="10" t="str">
        <f t="shared" si="39"/>
        <v>Aprobado</v>
      </c>
      <c r="N582" s="14">
        <v>0.2</v>
      </c>
    </row>
    <row r="583" spans="1:14" x14ac:dyDescent="0.25">
      <c r="A583" s="12" t="s">
        <v>19</v>
      </c>
      <c r="B583" s="12" t="s">
        <v>86</v>
      </c>
      <c r="C583" s="12" t="s">
        <v>20</v>
      </c>
      <c r="D583" s="12" t="s">
        <v>80</v>
      </c>
      <c r="E583" s="12">
        <v>3</v>
      </c>
      <c r="F583" s="12">
        <v>3</v>
      </c>
      <c r="G583" s="12">
        <v>3</v>
      </c>
      <c r="H583" s="12">
        <v>0</v>
      </c>
      <c r="I583" s="12">
        <v>0</v>
      </c>
      <c r="J583" s="12">
        <f t="shared" si="36"/>
        <v>1.8</v>
      </c>
      <c r="K583" s="12">
        <f t="shared" si="37"/>
        <v>2</v>
      </c>
      <c r="L583" s="13" t="str">
        <f t="shared" si="38"/>
        <v>A</v>
      </c>
      <c r="M583" s="12" t="str">
        <f t="shared" si="39"/>
        <v>Aprobado</v>
      </c>
      <c r="N583" s="15">
        <v>0.65</v>
      </c>
    </row>
    <row r="584" spans="1:14" x14ac:dyDescent="0.25">
      <c r="A584" s="10" t="s">
        <v>22</v>
      </c>
      <c r="B584" s="10" t="s">
        <v>86</v>
      </c>
      <c r="C584" s="10" t="s">
        <v>23</v>
      </c>
      <c r="D584" s="10" t="s">
        <v>80</v>
      </c>
      <c r="E584" s="10">
        <v>2</v>
      </c>
      <c r="F584" s="10">
        <v>1</v>
      </c>
      <c r="G584" s="10">
        <v>1</v>
      </c>
      <c r="H584" s="10">
        <v>3</v>
      </c>
      <c r="I584" s="10">
        <v>3</v>
      </c>
      <c r="J584" s="10">
        <f t="shared" si="36"/>
        <v>2</v>
      </c>
      <c r="K584" s="10">
        <f t="shared" si="37"/>
        <v>2</v>
      </c>
      <c r="L584" s="11" t="str">
        <f t="shared" si="38"/>
        <v>A</v>
      </c>
      <c r="M584" s="10" t="str">
        <f t="shared" si="39"/>
        <v>Aprobado</v>
      </c>
      <c r="N584" s="14">
        <v>0.7</v>
      </c>
    </row>
    <row r="585" spans="1:14" x14ac:dyDescent="0.25">
      <c r="A585" s="12" t="s">
        <v>25</v>
      </c>
      <c r="B585" s="12" t="s">
        <v>86</v>
      </c>
      <c r="C585" s="12" t="s">
        <v>26</v>
      </c>
      <c r="D585" s="12" t="s">
        <v>80</v>
      </c>
      <c r="E585" s="12">
        <v>0</v>
      </c>
      <c r="F585" s="12">
        <v>2</v>
      </c>
      <c r="G585" s="12">
        <v>2</v>
      </c>
      <c r="H585" s="12">
        <v>2</v>
      </c>
      <c r="I585" s="12">
        <v>3</v>
      </c>
      <c r="J585" s="12">
        <f t="shared" si="36"/>
        <v>1.8</v>
      </c>
      <c r="K585" s="12">
        <f t="shared" si="37"/>
        <v>2</v>
      </c>
      <c r="L585" s="13" t="str">
        <f t="shared" si="38"/>
        <v>A</v>
      </c>
      <c r="M585" s="12" t="str">
        <f t="shared" si="39"/>
        <v>Aprobado</v>
      </c>
      <c r="N585" s="15">
        <v>0.9</v>
      </c>
    </row>
    <row r="586" spans="1:14" x14ac:dyDescent="0.25">
      <c r="A586" s="10" t="s">
        <v>28</v>
      </c>
      <c r="B586" s="10" t="s">
        <v>86</v>
      </c>
      <c r="C586" s="10" t="s">
        <v>29</v>
      </c>
      <c r="D586" s="10" t="s">
        <v>80</v>
      </c>
      <c r="E586" s="10">
        <v>1</v>
      </c>
      <c r="F586" s="10">
        <v>3</v>
      </c>
      <c r="G586" s="10">
        <v>0</v>
      </c>
      <c r="H586" s="10">
        <v>1</v>
      </c>
      <c r="I586" s="10">
        <v>0</v>
      </c>
      <c r="J586" s="10">
        <f t="shared" si="36"/>
        <v>1</v>
      </c>
      <c r="K586" s="10">
        <f t="shared" si="37"/>
        <v>1</v>
      </c>
      <c r="L586" s="11" t="str">
        <f t="shared" si="38"/>
        <v>B</v>
      </c>
      <c r="M586" s="10" t="str">
        <f t="shared" si="39"/>
        <v>Desaprobado</v>
      </c>
      <c r="N586" s="14">
        <v>0.7</v>
      </c>
    </row>
    <row r="587" spans="1:14" x14ac:dyDescent="0.25">
      <c r="A587" s="12" t="s">
        <v>31</v>
      </c>
      <c r="B587" s="12" t="s">
        <v>86</v>
      </c>
      <c r="C587" s="12" t="s">
        <v>32</v>
      </c>
      <c r="D587" s="12" t="s">
        <v>80</v>
      </c>
      <c r="E587" s="12">
        <v>0</v>
      </c>
      <c r="F587" s="12">
        <v>0</v>
      </c>
      <c r="G587" s="12">
        <v>0</v>
      </c>
      <c r="H587" s="12">
        <v>2</v>
      </c>
      <c r="I587" s="12">
        <v>3</v>
      </c>
      <c r="J587" s="12">
        <f t="shared" si="36"/>
        <v>1</v>
      </c>
      <c r="K587" s="12">
        <f t="shared" si="37"/>
        <v>1</v>
      </c>
      <c r="L587" s="13" t="str">
        <f t="shared" si="38"/>
        <v>B</v>
      </c>
      <c r="M587" s="12" t="str">
        <f t="shared" si="39"/>
        <v>Desaprobado</v>
      </c>
      <c r="N587" s="15">
        <v>0.95</v>
      </c>
    </row>
    <row r="588" spans="1:14" x14ac:dyDescent="0.25">
      <c r="A588" s="10" t="s">
        <v>33</v>
      </c>
      <c r="B588" s="10" t="s">
        <v>86</v>
      </c>
      <c r="C588" s="10" t="s">
        <v>34</v>
      </c>
      <c r="D588" s="10" t="s">
        <v>80</v>
      </c>
      <c r="E588" s="10">
        <v>0</v>
      </c>
      <c r="F588" s="10">
        <v>3</v>
      </c>
      <c r="G588" s="10">
        <v>0</v>
      </c>
      <c r="H588" s="10">
        <v>1</v>
      </c>
      <c r="I588" s="10">
        <v>1</v>
      </c>
      <c r="J588" s="10">
        <f t="shared" si="36"/>
        <v>1</v>
      </c>
      <c r="K588" s="10">
        <f t="shared" si="37"/>
        <v>1</v>
      </c>
      <c r="L588" s="11" t="str">
        <f t="shared" si="38"/>
        <v>B</v>
      </c>
      <c r="M588" s="10" t="str">
        <f t="shared" si="39"/>
        <v>Desaprobado</v>
      </c>
      <c r="N588" s="14">
        <v>0.6</v>
      </c>
    </row>
    <row r="589" spans="1:14" x14ac:dyDescent="0.25">
      <c r="A589" s="12" t="s">
        <v>35</v>
      </c>
      <c r="B589" s="12" t="s">
        <v>86</v>
      </c>
      <c r="C589" s="12" t="s">
        <v>36</v>
      </c>
      <c r="D589" s="12" t="s">
        <v>80</v>
      </c>
      <c r="E589" s="12">
        <v>3</v>
      </c>
      <c r="F589" s="12">
        <v>1</v>
      </c>
      <c r="G589" s="12">
        <v>0</v>
      </c>
      <c r="H589" s="12">
        <v>0</v>
      </c>
      <c r="I589" s="12">
        <v>3</v>
      </c>
      <c r="J589" s="12">
        <f t="shared" si="36"/>
        <v>1.4</v>
      </c>
      <c r="K589" s="12">
        <f t="shared" si="37"/>
        <v>1</v>
      </c>
      <c r="L589" s="13" t="str">
        <f t="shared" si="38"/>
        <v>B</v>
      </c>
      <c r="M589" s="12" t="str">
        <f t="shared" si="39"/>
        <v>Desaprobado</v>
      </c>
      <c r="N589" s="15">
        <v>1</v>
      </c>
    </row>
    <row r="590" spans="1:14" x14ac:dyDescent="0.25">
      <c r="A590" s="10" t="s">
        <v>37</v>
      </c>
      <c r="B590" s="10" t="s">
        <v>86</v>
      </c>
      <c r="C590" s="10" t="s">
        <v>38</v>
      </c>
      <c r="D590" s="10" t="s">
        <v>80</v>
      </c>
      <c r="E590" s="10">
        <v>0</v>
      </c>
      <c r="F590" s="10">
        <v>2</v>
      </c>
      <c r="G590" s="10">
        <v>3</v>
      </c>
      <c r="H590" s="10">
        <v>0</v>
      </c>
      <c r="I590" s="10">
        <v>3</v>
      </c>
      <c r="J590" s="10">
        <f t="shared" si="36"/>
        <v>1.6</v>
      </c>
      <c r="K590" s="10">
        <f t="shared" si="37"/>
        <v>2</v>
      </c>
      <c r="L590" s="11" t="str">
        <f t="shared" si="38"/>
        <v>A</v>
      </c>
      <c r="M590" s="10" t="str">
        <f t="shared" si="39"/>
        <v>Aprobado</v>
      </c>
      <c r="N590" s="14">
        <v>0.9</v>
      </c>
    </row>
    <row r="591" spans="1:14" x14ac:dyDescent="0.25">
      <c r="A591" s="12" t="s">
        <v>39</v>
      </c>
      <c r="B591" s="12" t="s">
        <v>86</v>
      </c>
      <c r="C591" s="12" t="s">
        <v>40</v>
      </c>
      <c r="D591" s="12" t="s">
        <v>80</v>
      </c>
      <c r="E591" s="12">
        <v>1</v>
      </c>
      <c r="F591" s="12">
        <v>3</v>
      </c>
      <c r="G591" s="12">
        <v>0</v>
      </c>
      <c r="H591" s="12">
        <v>3</v>
      </c>
      <c r="I591" s="12">
        <v>2</v>
      </c>
      <c r="J591" s="12">
        <f t="shared" si="36"/>
        <v>1.8</v>
      </c>
      <c r="K591" s="12">
        <f t="shared" si="37"/>
        <v>2</v>
      </c>
      <c r="L591" s="13" t="str">
        <f t="shared" si="38"/>
        <v>A</v>
      </c>
      <c r="M591" s="12" t="str">
        <f t="shared" si="39"/>
        <v>Aprobado</v>
      </c>
      <c r="N591" s="15">
        <v>0.95</v>
      </c>
    </row>
    <row r="592" spans="1:14" x14ac:dyDescent="0.25">
      <c r="A592" s="10" t="s">
        <v>41</v>
      </c>
      <c r="B592" s="10" t="s">
        <v>86</v>
      </c>
      <c r="C592" s="10" t="s">
        <v>42</v>
      </c>
      <c r="D592" s="10" t="s">
        <v>80</v>
      </c>
      <c r="E592" s="10">
        <v>2</v>
      </c>
      <c r="F592" s="10">
        <v>1</v>
      </c>
      <c r="G592" s="10">
        <v>3</v>
      </c>
      <c r="H592" s="10">
        <v>0</v>
      </c>
      <c r="I592" s="10">
        <v>3</v>
      </c>
      <c r="J592" s="10">
        <f t="shared" si="36"/>
        <v>1.8</v>
      </c>
      <c r="K592" s="10">
        <f t="shared" si="37"/>
        <v>2</v>
      </c>
      <c r="L592" s="11" t="str">
        <f t="shared" si="38"/>
        <v>A</v>
      </c>
      <c r="M592" s="10" t="str">
        <f t="shared" si="39"/>
        <v>Aprobado</v>
      </c>
      <c r="N592" s="14">
        <v>0.6</v>
      </c>
    </row>
    <row r="593" spans="1:14" x14ac:dyDescent="0.25">
      <c r="A593" s="12" t="s">
        <v>43</v>
      </c>
      <c r="B593" s="12" t="s">
        <v>86</v>
      </c>
      <c r="C593" s="12" t="s">
        <v>44</v>
      </c>
      <c r="D593" s="12" t="s">
        <v>80</v>
      </c>
      <c r="E593" s="12">
        <v>3</v>
      </c>
      <c r="F593" s="12">
        <v>0</v>
      </c>
      <c r="G593" s="12">
        <v>3</v>
      </c>
      <c r="H593" s="12">
        <v>3</v>
      </c>
      <c r="I593" s="12">
        <v>0</v>
      </c>
      <c r="J593" s="12">
        <f t="shared" si="36"/>
        <v>1.8</v>
      </c>
      <c r="K593" s="12">
        <f t="shared" si="37"/>
        <v>2</v>
      </c>
      <c r="L593" s="13" t="str">
        <f t="shared" si="38"/>
        <v>A</v>
      </c>
      <c r="M593" s="12" t="str">
        <f t="shared" si="39"/>
        <v>Aprobado</v>
      </c>
      <c r="N593" s="15">
        <v>0.2</v>
      </c>
    </row>
    <row r="594" spans="1:14" x14ac:dyDescent="0.25">
      <c r="A594" s="10" t="s">
        <v>45</v>
      </c>
      <c r="B594" s="10" t="s">
        <v>86</v>
      </c>
      <c r="C594" s="10" t="s">
        <v>46</v>
      </c>
      <c r="D594" s="10" t="s">
        <v>80</v>
      </c>
      <c r="E594" s="10">
        <v>1</v>
      </c>
      <c r="F594" s="10">
        <v>2</v>
      </c>
      <c r="G594" s="10">
        <v>3</v>
      </c>
      <c r="H594" s="10">
        <v>3</v>
      </c>
      <c r="I594" s="10">
        <v>1</v>
      </c>
      <c r="J594" s="10">
        <f t="shared" si="36"/>
        <v>2</v>
      </c>
      <c r="K594" s="10">
        <f t="shared" si="37"/>
        <v>2</v>
      </c>
      <c r="L594" s="11" t="str">
        <f t="shared" si="38"/>
        <v>A</v>
      </c>
      <c r="M594" s="10" t="str">
        <f t="shared" si="39"/>
        <v>Aprobado</v>
      </c>
      <c r="N594" s="14">
        <v>0.95</v>
      </c>
    </row>
    <row r="595" spans="1:14" x14ac:dyDescent="0.25">
      <c r="A595" s="12" t="s">
        <v>47</v>
      </c>
      <c r="B595" s="12" t="s">
        <v>86</v>
      </c>
      <c r="C595" s="12" t="s">
        <v>48</v>
      </c>
      <c r="D595" s="12" t="s">
        <v>80</v>
      </c>
      <c r="E595" s="12">
        <v>2</v>
      </c>
      <c r="F595" s="12">
        <v>3</v>
      </c>
      <c r="G595" s="12">
        <v>1</v>
      </c>
      <c r="H595" s="12">
        <v>2</v>
      </c>
      <c r="I595" s="12">
        <v>0</v>
      </c>
      <c r="J595" s="12">
        <f t="shared" si="36"/>
        <v>1.6</v>
      </c>
      <c r="K595" s="12">
        <f t="shared" si="37"/>
        <v>2</v>
      </c>
      <c r="L595" s="13" t="str">
        <f t="shared" si="38"/>
        <v>A</v>
      </c>
      <c r="M595" s="12" t="str">
        <f t="shared" si="39"/>
        <v>Aprobado</v>
      </c>
      <c r="N595" s="15">
        <v>0.8</v>
      </c>
    </row>
    <row r="596" spans="1:14" x14ac:dyDescent="0.25">
      <c r="A596" s="10" t="s">
        <v>49</v>
      </c>
      <c r="B596" s="10" t="s">
        <v>86</v>
      </c>
      <c r="C596" s="10" t="s">
        <v>50</v>
      </c>
      <c r="D596" s="10" t="s">
        <v>80</v>
      </c>
      <c r="E596" s="10">
        <v>3</v>
      </c>
      <c r="F596" s="10">
        <v>2</v>
      </c>
      <c r="G596" s="10">
        <v>0</v>
      </c>
      <c r="H596" s="10">
        <v>3</v>
      </c>
      <c r="I596" s="10">
        <v>1</v>
      </c>
      <c r="J596" s="10">
        <f t="shared" si="36"/>
        <v>1.8</v>
      </c>
      <c r="K596" s="10">
        <f t="shared" si="37"/>
        <v>2</v>
      </c>
      <c r="L596" s="11" t="str">
        <f t="shared" si="38"/>
        <v>A</v>
      </c>
      <c r="M596" s="10" t="str">
        <f t="shared" si="39"/>
        <v>Aprobado</v>
      </c>
      <c r="N596" s="14">
        <v>0.25</v>
      </c>
    </row>
    <row r="597" spans="1:14" x14ac:dyDescent="0.25">
      <c r="A597" s="12" t="s">
        <v>51</v>
      </c>
      <c r="B597" s="12" t="s">
        <v>86</v>
      </c>
      <c r="C597" s="12" t="s">
        <v>52</v>
      </c>
      <c r="D597" s="12" t="s">
        <v>80</v>
      </c>
      <c r="E597" s="12">
        <v>3</v>
      </c>
      <c r="F597" s="12">
        <v>2</v>
      </c>
      <c r="G597" s="12">
        <v>1</v>
      </c>
      <c r="H597" s="12">
        <v>2</v>
      </c>
      <c r="I597" s="12">
        <v>3</v>
      </c>
      <c r="J597" s="12">
        <f t="shared" si="36"/>
        <v>2.2000000000000002</v>
      </c>
      <c r="K597" s="12">
        <f t="shared" si="37"/>
        <v>2</v>
      </c>
      <c r="L597" s="13" t="str">
        <f t="shared" si="38"/>
        <v>A</v>
      </c>
      <c r="M597" s="12" t="str">
        <f t="shared" si="39"/>
        <v>Aprobado</v>
      </c>
      <c r="N597" s="15">
        <v>0.4</v>
      </c>
    </row>
    <row r="598" spans="1:14" x14ac:dyDescent="0.25">
      <c r="A598" s="10" t="s">
        <v>53</v>
      </c>
      <c r="B598" s="10" t="s">
        <v>86</v>
      </c>
      <c r="C598" s="10" t="s">
        <v>54</v>
      </c>
      <c r="D598" s="10" t="s">
        <v>80</v>
      </c>
      <c r="E598" s="10">
        <v>2</v>
      </c>
      <c r="F598" s="10">
        <v>0</v>
      </c>
      <c r="G598" s="10">
        <v>2</v>
      </c>
      <c r="H598" s="10">
        <v>0</v>
      </c>
      <c r="I598" s="10">
        <v>3</v>
      </c>
      <c r="J598" s="10">
        <f t="shared" si="36"/>
        <v>1.4</v>
      </c>
      <c r="K598" s="10">
        <f t="shared" si="37"/>
        <v>1</v>
      </c>
      <c r="L598" s="11" t="str">
        <f t="shared" si="38"/>
        <v>B</v>
      </c>
      <c r="M598" s="10" t="str">
        <f t="shared" si="39"/>
        <v>Desaprobado</v>
      </c>
      <c r="N598" s="14">
        <v>0.4</v>
      </c>
    </row>
    <row r="599" spans="1:14" x14ac:dyDescent="0.25">
      <c r="A599" s="12" t="s">
        <v>55</v>
      </c>
      <c r="B599" s="12" t="s">
        <v>86</v>
      </c>
      <c r="C599" s="12" t="s">
        <v>56</v>
      </c>
      <c r="D599" s="12" t="s">
        <v>80</v>
      </c>
      <c r="E599" s="12">
        <v>3</v>
      </c>
      <c r="F599" s="12">
        <v>3</v>
      </c>
      <c r="G599" s="12">
        <v>1</v>
      </c>
      <c r="H599" s="12">
        <v>2</v>
      </c>
      <c r="I599" s="12">
        <v>0</v>
      </c>
      <c r="J599" s="12">
        <f t="shared" si="36"/>
        <v>1.8</v>
      </c>
      <c r="K599" s="12">
        <f t="shared" si="37"/>
        <v>2</v>
      </c>
      <c r="L599" s="13" t="str">
        <f t="shared" si="38"/>
        <v>A</v>
      </c>
      <c r="M599" s="12" t="str">
        <f t="shared" si="39"/>
        <v>Aprobado</v>
      </c>
      <c r="N599" s="15">
        <v>0.5</v>
      </c>
    </row>
    <row r="600" spans="1:14" x14ac:dyDescent="0.25">
      <c r="A600" s="10" t="s">
        <v>57</v>
      </c>
      <c r="B600" s="10" t="s">
        <v>86</v>
      </c>
      <c r="C600" s="10" t="s">
        <v>58</v>
      </c>
      <c r="D600" s="10" t="s">
        <v>80</v>
      </c>
      <c r="E600" s="10">
        <v>3</v>
      </c>
      <c r="F600" s="10">
        <v>1</v>
      </c>
      <c r="G600" s="10">
        <v>3</v>
      </c>
      <c r="H600" s="10">
        <v>1</v>
      </c>
      <c r="I600" s="10">
        <v>2</v>
      </c>
      <c r="J600" s="10">
        <f t="shared" si="36"/>
        <v>2</v>
      </c>
      <c r="K600" s="10">
        <f t="shared" si="37"/>
        <v>2</v>
      </c>
      <c r="L600" s="11" t="str">
        <f t="shared" si="38"/>
        <v>A</v>
      </c>
      <c r="M600" s="10" t="str">
        <f t="shared" si="39"/>
        <v>Aprobado</v>
      </c>
      <c r="N600" s="14">
        <v>0.7</v>
      </c>
    </row>
    <row r="601" spans="1:14" x14ac:dyDescent="0.25">
      <c r="A601" s="12" t="s">
        <v>59</v>
      </c>
      <c r="B601" s="12" t="s">
        <v>86</v>
      </c>
      <c r="C601" s="12" t="s">
        <v>60</v>
      </c>
      <c r="D601" s="12" t="s">
        <v>80</v>
      </c>
      <c r="E601" s="12">
        <v>0</v>
      </c>
      <c r="F601" s="12">
        <v>2</v>
      </c>
      <c r="G601" s="12">
        <v>3</v>
      </c>
      <c r="H601" s="12">
        <v>1</v>
      </c>
      <c r="I601" s="12">
        <v>3</v>
      </c>
      <c r="J601" s="12">
        <f t="shared" si="36"/>
        <v>1.8</v>
      </c>
      <c r="K601" s="12">
        <f t="shared" si="37"/>
        <v>2</v>
      </c>
      <c r="L601" s="13" t="str">
        <f t="shared" si="38"/>
        <v>A</v>
      </c>
      <c r="M601" s="12" t="str">
        <f t="shared" si="39"/>
        <v>Aprobado</v>
      </c>
      <c r="N601" s="15">
        <v>0.7</v>
      </c>
    </row>
    <row r="602" spans="1:14" x14ac:dyDescent="0.25">
      <c r="A602" s="10" t="s">
        <v>61</v>
      </c>
      <c r="B602" s="10" t="s">
        <v>86</v>
      </c>
      <c r="C602" s="10" t="s">
        <v>62</v>
      </c>
      <c r="D602" s="10" t="s">
        <v>80</v>
      </c>
      <c r="E602" s="10">
        <v>2</v>
      </c>
      <c r="F602" s="10">
        <v>0</v>
      </c>
      <c r="G602" s="10">
        <v>1</v>
      </c>
      <c r="H602" s="10">
        <v>2</v>
      </c>
      <c r="I602" s="10">
        <v>0</v>
      </c>
      <c r="J602" s="10">
        <f t="shared" si="36"/>
        <v>1</v>
      </c>
      <c r="K602" s="10">
        <f t="shared" si="37"/>
        <v>1</v>
      </c>
      <c r="L602" s="11" t="str">
        <f t="shared" si="38"/>
        <v>B</v>
      </c>
      <c r="M602" s="10" t="str">
        <f t="shared" si="39"/>
        <v>Desaprobado</v>
      </c>
      <c r="N602" s="14">
        <v>0.25</v>
      </c>
    </row>
    <row r="603" spans="1:14" x14ac:dyDescent="0.25">
      <c r="A603" s="12" t="s">
        <v>63</v>
      </c>
      <c r="B603" s="12" t="s">
        <v>86</v>
      </c>
      <c r="C603" s="12" t="s">
        <v>64</v>
      </c>
      <c r="D603" s="12" t="s">
        <v>80</v>
      </c>
      <c r="E603" s="12">
        <v>2</v>
      </c>
      <c r="F603" s="12">
        <v>1</v>
      </c>
      <c r="G603" s="12">
        <v>0</v>
      </c>
      <c r="H603" s="12">
        <v>0</v>
      </c>
      <c r="I603" s="12">
        <v>1</v>
      </c>
      <c r="J603" s="12">
        <f t="shared" si="36"/>
        <v>0.8</v>
      </c>
      <c r="K603" s="12">
        <f t="shared" si="37"/>
        <v>1</v>
      </c>
      <c r="L603" s="13" t="str">
        <f t="shared" si="38"/>
        <v>B</v>
      </c>
      <c r="M603" s="12" t="str">
        <f t="shared" si="39"/>
        <v>Desaprobado</v>
      </c>
      <c r="N603" s="15">
        <v>0.2</v>
      </c>
    </row>
    <row r="604" spans="1:14" x14ac:dyDescent="0.25">
      <c r="A604" s="10" t="s">
        <v>65</v>
      </c>
      <c r="B604" s="10" t="s">
        <v>86</v>
      </c>
      <c r="C604" s="10" t="s">
        <v>66</v>
      </c>
      <c r="D604" s="10" t="s">
        <v>80</v>
      </c>
      <c r="E604" s="10">
        <v>0</v>
      </c>
      <c r="F604" s="10">
        <v>2</v>
      </c>
      <c r="G604" s="10">
        <v>1</v>
      </c>
      <c r="H604" s="10">
        <v>2</v>
      </c>
      <c r="I604" s="10">
        <v>0</v>
      </c>
      <c r="J604" s="10">
        <f t="shared" si="36"/>
        <v>1</v>
      </c>
      <c r="K604" s="10">
        <f t="shared" si="37"/>
        <v>1</v>
      </c>
      <c r="L604" s="11" t="str">
        <f t="shared" si="38"/>
        <v>B</v>
      </c>
      <c r="M604" s="10" t="str">
        <f t="shared" si="39"/>
        <v>Desaprobado</v>
      </c>
      <c r="N604" s="14">
        <v>0.65</v>
      </c>
    </row>
    <row r="605" spans="1:14" x14ac:dyDescent="0.25">
      <c r="A605" s="12" t="s">
        <v>67</v>
      </c>
      <c r="B605" s="12" t="s">
        <v>86</v>
      </c>
      <c r="C605" s="12" t="s">
        <v>68</v>
      </c>
      <c r="D605" s="12" t="s">
        <v>80</v>
      </c>
      <c r="E605" s="12">
        <v>0</v>
      </c>
      <c r="F605" s="12">
        <v>3</v>
      </c>
      <c r="G605" s="12">
        <v>1</v>
      </c>
      <c r="H605" s="12">
        <v>1</v>
      </c>
      <c r="I605" s="12">
        <v>2</v>
      </c>
      <c r="J605" s="12">
        <f t="shared" si="36"/>
        <v>1.4</v>
      </c>
      <c r="K605" s="12">
        <f t="shared" si="37"/>
        <v>1</v>
      </c>
      <c r="L605" s="13" t="str">
        <f t="shared" si="38"/>
        <v>B</v>
      </c>
      <c r="M605" s="12" t="str">
        <f t="shared" si="39"/>
        <v>Desaprobado</v>
      </c>
      <c r="N605" s="15">
        <v>0.7</v>
      </c>
    </row>
    <row r="606" spans="1:14" x14ac:dyDescent="0.25">
      <c r="A606" s="10" t="s">
        <v>69</v>
      </c>
      <c r="B606" s="10" t="s">
        <v>86</v>
      </c>
      <c r="C606" s="10" t="s">
        <v>70</v>
      </c>
      <c r="D606" s="10" t="s">
        <v>80</v>
      </c>
      <c r="E606" s="10">
        <v>1</v>
      </c>
      <c r="F606" s="10">
        <v>2</v>
      </c>
      <c r="G606" s="10">
        <v>0</v>
      </c>
      <c r="H606" s="10">
        <v>0</v>
      </c>
      <c r="I606" s="10">
        <v>0</v>
      </c>
      <c r="J606" s="10">
        <f t="shared" si="36"/>
        <v>0.6</v>
      </c>
      <c r="K606" s="10">
        <f t="shared" si="37"/>
        <v>1</v>
      </c>
      <c r="L606" s="11" t="str">
        <f t="shared" si="38"/>
        <v>B</v>
      </c>
      <c r="M606" s="10" t="str">
        <f t="shared" si="39"/>
        <v>Desaprobado</v>
      </c>
      <c r="N606" s="14">
        <v>0.9</v>
      </c>
    </row>
    <row r="607" spans="1:14" x14ac:dyDescent="0.25">
      <c r="A607" s="12" t="s">
        <v>71</v>
      </c>
      <c r="B607" s="12" t="s">
        <v>86</v>
      </c>
      <c r="C607" s="12" t="s">
        <v>72</v>
      </c>
      <c r="D607" s="12" t="s">
        <v>80</v>
      </c>
      <c r="E607" s="12">
        <v>2</v>
      </c>
      <c r="F607" s="12">
        <v>3</v>
      </c>
      <c r="G607" s="12">
        <v>3</v>
      </c>
      <c r="H607" s="12">
        <v>1</v>
      </c>
      <c r="I607" s="12">
        <v>0</v>
      </c>
      <c r="J607" s="12">
        <f t="shared" si="36"/>
        <v>1.8</v>
      </c>
      <c r="K607" s="12">
        <f t="shared" si="37"/>
        <v>2</v>
      </c>
      <c r="L607" s="13" t="str">
        <f t="shared" si="38"/>
        <v>A</v>
      </c>
      <c r="M607" s="12" t="str">
        <f t="shared" si="39"/>
        <v>Aprobado</v>
      </c>
      <c r="N607" s="15">
        <v>0.7</v>
      </c>
    </row>
    <row r="608" spans="1:14" x14ac:dyDescent="0.25">
      <c r="A608" s="10" t="s">
        <v>73</v>
      </c>
      <c r="B608" s="10" t="s">
        <v>86</v>
      </c>
      <c r="C608" s="10" t="s">
        <v>74</v>
      </c>
      <c r="D608" s="10" t="s">
        <v>80</v>
      </c>
      <c r="E608" s="10">
        <v>0</v>
      </c>
      <c r="F608" s="10">
        <v>2</v>
      </c>
      <c r="G608" s="10">
        <v>0</v>
      </c>
      <c r="H608" s="10">
        <v>2</v>
      </c>
      <c r="I608" s="10">
        <v>2</v>
      </c>
      <c r="J608" s="10">
        <f t="shared" si="36"/>
        <v>1.2</v>
      </c>
      <c r="K608" s="10">
        <f t="shared" si="37"/>
        <v>1</v>
      </c>
      <c r="L608" s="11" t="str">
        <f t="shared" si="38"/>
        <v>B</v>
      </c>
      <c r="M608" s="10" t="str">
        <f t="shared" si="39"/>
        <v>Desaprobado</v>
      </c>
      <c r="N608" s="14">
        <v>0.95</v>
      </c>
    </row>
    <row r="609" spans="1:14" x14ac:dyDescent="0.25">
      <c r="A609" s="12" t="s">
        <v>75</v>
      </c>
      <c r="B609" s="12" t="s">
        <v>86</v>
      </c>
      <c r="C609" s="12" t="s">
        <v>76</v>
      </c>
      <c r="D609" s="12" t="s">
        <v>80</v>
      </c>
      <c r="E609" s="12">
        <v>3</v>
      </c>
      <c r="F609" s="12">
        <v>2</v>
      </c>
      <c r="G609" s="12">
        <v>2</v>
      </c>
      <c r="H609" s="12">
        <v>1</v>
      </c>
      <c r="I609" s="12">
        <v>2</v>
      </c>
      <c r="J609" s="12">
        <f t="shared" si="36"/>
        <v>2</v>
      </c>
      <c r="K609" s="12">
        <f t="shared" si="37"/>
        <v>2</v>
      </c>
      <c r="L609" s="13" t="str">
        <f t="shared" si="38"/>
        <v>A</v>
      </c>
      <c r="M609" s="12" t="str">
        <f t="shared" si="39"/>
        <v>Aprobado</v>
      </c>
      <c r="N609" s="15">
        <v>0.6</v>
      </c>
    </row>
    <row r="610" spans="1:14" x14ac:dyDescent="0.25">
      <c r="A610" s="10" t="s">
        <v>77</v>
      </c>
      <c r="B610" s="10" t="s">
        <v>86</v>
      </c>
      <c r="C610" s="10" t="s">
        <v>78</v>
      </c>
      <c r="D610" s="10" t="s">
        <v>80</v>
      </c>
      <c r="E610" s="10">
        <v>2</v>
      </c>
      <c r="F610" s="10">
        <v>3</v>
      </c>
      <c r="G610" s="10">
        <v>1</v>
      </c>
      <c r="H610" s="10">
        <v>0</v>
      </c>
      <c r="I610" s="10">
        <v>0</v>
      </c>
      <c r="J610" s="10">
        <f t="shared" si="36"/>
        <v>1.2</v>
      </c>
      <c r="K610" s="10">
        <f t="shared" si="37"/>
        <v>1</v>
      </c>
      <c r="L610" s="11" t="str">
        <f t="shared" si="38"/>
        <v>B</v>
      </c>
      <c r="M610" s="10" t="str">
        <f t="shared" si="39"/>
        <v>Desaprobado</v>
      </c>
      <c r="N610" s="14">
        <v>0.1</v>
      </c>
    </row>
    <row r="611" spans="1:14" x14ac:dyDescent="0.25">
      <c r="A611" s="12" t="s">
        <v>14</v>
      </c>
      <c r="B611" s="12" t="s">
        <v>86</v>
      </c>
      <c r="C611" s="12" t="s">
        <v>16</v>
      </c>
      <c r="D611" s="12" t="s">
        <v>81</v>
      </c>
      <c r="E611" s="12">
        <v>0</v>
      </c>
      <c r="F611" s="12">
        <v>2</v>
      </c>
      <c r="G611" s="12">
        <v>1</v>
      </c>
      <c r="H611" s="12">
        <v>1</v>
      </c>
      <c r="I611" s="12">
        <v>1</v>
      </c>
      <c r="J611" s="12">
        <f t="shared" si="36"/>
        <v>1</v>
      </c>
      <c r="K611" s="12">
        <f t="shared" si="37"/>
        <v>1</v>
      </c>
      <c r="L611" s="13" t="str">
        <f t="shared" si="38"/>
        <v>B</v>
      </c>
      <c r="M611" s="12" t="str">
        <f t="shared" si="39"/>
        <v>Desaprobado</v>
      </c>
      <c r="N611" s="15">
        <v>0.9</v>
      </c>
    </row>
    <row r="612" spans="1:14" x14ac:dyDescent="0.25">
      <c r="A612" s="10" t="s">
        <v>19</v>
      </c>
      <c r="B612" s="10" t="s">
        <v>86</v>
      </c>
      <c r="C612" s="10" t="s">
        <v>20</v>
      </c>
      <c r="D612" s="10" t="s">
        <v>81</v>
      </c>
      <c r="E612" s="10">
        <v>1</v>
      </c>
      <c r="F612" s="10">
        <v>2</v>
      </c>
      <c r="G612" s="10">
        <v>2</v>
      </c>
      <c r="H612" s="10">
        <v>3</v>
      </c>
      <c r="I612" s="10">
        <v>3</v>
      </c>
      <c r="J612" s="10">
        <f t="shared" si="36"/>
        <v>2.2000000000000002</v>
      </c>
      <c r="K612" s="10">
        <f t="shared" si="37"/>
        <v>2</v>
      </c>
      <c r="L612" s="11" t="str">
        <f t="shared" si="38"/>
        <v>A</v>
      </c>
      <c r="M612" s="10" t="str">
        <f t="shared" si="39"/>
        <v>Aprobado</v>
      </c>
      <c r="N612" s="14">
        <v>0.95</v>
      </c>
    </row>
    <row r="613" spans="1:14" x14ac:dyDescent="0.25">
      <c r="A613" s="12" t="s">
        <v>22</v>
      </c>
      <c r="B613" s="12" t="s">
        <v>86</v>
      </c>
      <c r="C613" s="12" t="s">
        <v>23</v>
      </c>
      <c r="D613" s="12" t="s">
        <v>81</v>
      </c>
      <c r="E613" s="12">
        <v>1</v>
      </c>
      <c r="F613" s="12">
        <v>2</v>
      </c>
      <c r="G613" s="12">
        <v>2</v>
      </c>
      <c r="H613" s="12">
        <v>1</v>
      </c>
      <c r="I613" s="12">
        <v>3</v>
      </c>
      <c r="J613" s="12">
        <f t="shared" si="36"/>
        <v>1.8</v>
      </c>
      <c r="K613" s="12">
        <f t="shared" si="37"/>
        <v>2</v>
      </c>
      <c r="L613" s="13" t="str">
        <f t="shared" si="38"/>
        <v>A</v>
      </c>
      <c r="M613" s="12" t="str">
        <f t="shared" si="39"/>
        <v>Aprobado</v>
      </c>
      <c r="N613" s="15">
        <v>0.9</v>
      </c>
    </row>
    <row r="614" spans="1:14" x14ac:dyDescent="0.25">
      <c r="A614" s="10" t="s">
        <v>25</v>
      </c>
      <c r="B614" s="10" t="s">
        <v>86</v>
      </c>
      <c r="C614" s="10" t="s">
        <v>26</v>
      </c>
      <c r="D614" s="10" t="s">
        <v>81</v>
      </c>
      <c r="E614" s="10">
        <v>3</v>
      </c>
      <c r="F614" s="10">
        <v>1</v>
      </c>
      <c r="G614" s="10">
        <v>3</v>
      </c>
      <c r="H614" s="10">
        <v>1</v>
      </c>
      <c r="I614" s="10">
        <v>0</v>
      </c>
      <c r="J614" s="10">
        <f t="shared" si="36"/>
        <v>1.6</v>
      </c>
      <c r="K614" s="10">
        <f t="shared" si="37"/>
        <v>2</v>
      </c>
      <c r="L614" s="11" t="str">
        <f t="shared" si="38"/>
        <v>A</v>
      </c>
      <c r="M614" s="10" t="str">
        <f t="shared" si="39"/>
        <v>Aprobado</v>
      </c>
      <c r="N614" s="14">
        <v>0.2</v>
      </c>
    </row>
    <row r="615" spans="1:14" x14ac:dyDescent="0.25">
      <c r="A615" s="12" t="s">
        <v>28</v>
      </c>
      <c r="B615" s="12" t="s">
        <v>86</v>
      </c>
      <c r="C615" s="12" t="s">
        <v>29</v>
      </c>
      <c r="D615" s="12" t="s">
        <v>81</v>
      </c>
      <c r="E615" s="12">
        <v>1</v>
      </c>
      <c r="F615" s="12">
        <v>1</v>
      </c>
      <c r="G615" s="12">
        <v>3</v>
      </c>
      <c r="H615" s="12">
        <v>0</v>
      </c>
      <c r="I615" s="12">
        <v>3</v>
      </c>
      <c r="J615" s="12">
        <f t="shared" si="36"/>
        <v>1.6</v>
      </c>
      <c r="K615" s="12">
        <f t="shared" si="37"/>
        <v>2</v>
      </c>
      <c r="L615" s="13" t="str">
        <f t="shared" si="38"/>
        <v>A</v>
      </c>
      <c r="M615" s="12" t="str">
        <f t="shared" si="39"/>
        <v>Aprobado</v>
      </c>
      <c r="N615" s="15">
        <v>0.95</v>
      </c>
    </row>
    <row r="616" spans="1:14" x14ac:dyDescent="0.25">
      <c r="A616" s="10" t="s">
        <v>31</v>
      </c>
      <c r="B616" s="10" t="s">
        <v>86</v>
      </c>
      <c r="C616" s="10" t="s">
        <v>32</v>
      </c>
      <c r="D616" s="10" t="s">
        <v>81</v>
      </c>
      <c r="E616" s="10">
        <v>1</v>
      </c>
      <c r="F616" s="10">
        <v>3</v>
      </c>
      <c r="G616" s="10">
        <v>1</v>
      </c>
      <c r="H616" s="10">
        <v>0</v>
      </c>
      <c r="I616" s="10">
        <v>0</v>
      </c>
      <c r="J616" s="10">
        <f t="shared" si="36"/>
        <v>1</v>
      </c>
      <c r="K616" s="10">
        <f t="shared" si="37"/>
        <v>1</v>
      </c>
      <c r="L616" s="11" t="str">
        <f t="shared" si="38"/>
        <v>B</v>
      </c>
      <c r="M616" s="10" t="str">
        <f t="shared" si="39"/>
        <v>Desaprobado</v>
      </c>
      <c r="N616" s="14">
        <v>0.8</v>
      </c>
    </row>
    <row r="617" spans="1:14" x14ac:dyDescent="0.25">
      <c r="A617" s="12" t="s">
        <v>33</v>
      </c>
      <c r="B617" s="12" t="s">
        <v>86</v>
      </c>
      <c r="C617" s="12" t="s">
        <v>34</v>
      </c>
      <c r="D617" s="12" t="s">
        <v>81</v>
      </c>
      <c r="E617" s="12">
        <v>1</v>
      </c>
      <c r="F617" s="12">
        <v>3</v>
      </c>
      <c r="G617" s="12">
        <v>1</v>
      </c>
      <c r="H617" s="12">
        <v>0</v>
      </c>
      <c r="I617" s="12">
        <v>3</v>
      </c>
      <c r="J617" s="12">
        <f t="shared" si="36"/>
        <v>1.6</v>
      </c>
      <c r="K617" s="12">
        <f t="shared" si="37"/>
        <v>2</v>
      </c>
      <c r="L617" s="13" t="str">
        <f t="shared" si="38"/>
        <v>A</v>
      </c>
      <c r="M617" s="12" t="str">
        <f t="shared" si="39"/>
        <v>Aprobado</v>
      </c>
      <c r="N617" s="15">
        <v>0.25</v>
      </c>
    </row>
    <row r="618" spans="1:14" x14ac:dyDescent="0.25">
      <c r="A618" s="10" t="s">
        <v>35</v>
      </c>
      <c r="B618" s="10" t="s">
        <v>86</v>
      </c>
      <c r="C618" s="10" t="s">
        <v>36</v>
      </c>
      <c r="D618" s="10" t="s">
        <v>81</v>
      </c>
      <c r="E618" s="10">
        <v>2</v>
      </c>
      <c r="F618" s="10">
        <v>2</v>
      </c>
      <c r="G618" s="10">
        <v>3</v>
      </c>
      <c r="H618" s="10">
        <v>2</v>
      </c>
      <c r="I618" s="10">
        <v>0</v>
      </c>
      <c r="J618" s="10">
        <f t="shared" si="36"/>
        <v>1.8</v>
      </c>
      <c r="K618" s="10">
        <f t="shared" si="37"/>
        <v>2</v>
      </c>
      <c r="L618" s="11" t="str">
        <f t="shared" si="38"/>
        <v>A</v>
      </c>
      <c r="M618" s="10" t="str">
        <f t="shared" si="39"/>
        <v>Aprobado</v>
      </c>
      <c r="N618" s="14">
        <v>0.4</v>
      </c>
    </row>
    <row r="619" spans="1:14" x14ac:dyDescent="0.25">
      <c r="A619" s="12" t="s">
        <v>37</v>
      </c>
      <c r="B619" s="12" t="s">
        <v>86</v>
      </c>
      <c r="C619" s="12" t="s">
        <v>38</v>
      </c>
      <c r="D619" s="12" t="s">
        <v>81</v>
      </c>
      <c r="E619" s="12">
        <v>3</v>
      </c>
      <c r="F619" s="12">
        <v>0</v>
      </c>
      <c r="G619" s="12">
        <v>1</v>
      </c>
      <c r="H619" s="12">
        <v>0</v>
      </c>
      <c r="I619" s="12">
        <v>1</v>
      </c>
      <c r="J619" s="12">
        <f t="shared" si="36"/>
        <v>1</v>
      </c>
      <c r="K619" s="12">
        <f t="shared" si="37"/>
        <v>1</v>
      </c>
      <c r="L619" s="13" t="str">
        <f t="shared" si="38"/>
        <v>B</v>
      </c>
      <c r="M619" s="12" t="str">
        <f t="shared" si="39"/>
        <v>Desaprobado</v>
      </c>
      <c r="N619" s="15">
        <v>0.4</v>
      </c>
    </row>
    <row r="620" spans="1:14" x14ac:dyDescent="0.25">
      <c r="A620" s="10" t="s">
        <v>39</v>
      </c>
      <c r="B620" s="10" t="s">
        <v>86</v>
      </c>
      <c r="C620" s="10" t="s">
        <v>40</v>
      </c>
      <c r="D620" s="10" t="s">
        <v>81</v>
      </c>
      <c r="E620" s="10">
        <v>1</v>
      </c>
      <c r="F620" s="10">
        <v>1</v>
      </c>
      <c r="G620" s="10">
        <v>2</v>
      </c>
      <c r="H620" s="10">
        <v>1</v>
      </c>
      <c r="I620" s="10">
        <v>3</v>
      </c>
      <c r="J620" s="10">
        <f t="shared" si="36"/>
        <v>1.6</v>
      </c>
      <c r="K620" s="10">
        <f t="shared" si="37"/>
        <v>2</v>
      </c>
      <c r="L620" s="11" t="str">
        <f t="shared" si="38"/>
        <v>A</v>
      </c>
      <c r="M620" s="10" t="str">
        <f t="shared" si="39"/>
        <v>Aprobado</v>
      </c>
      <c r="N620" s="14">
        <v>0.5</v>
      </c>
    </row>
    <row r="621" spans="1:14" x14ac:dyDescent="0.25">
      <c r="A621" s="12" t="s">
        <v>41</v>
      </c>
      <c r="B621" s="12" t="s">
        <v>86</v>
      </c>
      <c r="C621" s="12" t="s">
        <v>42</v>
      </c>
      <c r="D621" s="12" t="s">
        <v>81</v>
      </c>
      <c r="E621" s="12">
        <v>3</v>
      </c>
      <c r="F621" s="12">
        <v>3</v>
      </c>
      <c r="G621" s="12">
        <v>0</v>
      </c>
      <c r="H621" s="12">
        <v>2</v>
      </c>
      <c r="I621" s="12">
        <v>0</v>
      </c>
      <c r="J621" s="12">
        <f t="shared" si="36"/>
        <v>1.6</v>
      </c>
      <c r="K621" s="12">
        <f t="shared" si="37"/>
        <v>2</v>
      </c>
      <c r="L621" s="13" t="str">
        <f t="shared" si="38"/>
        <v>A</v>
      </c>
      <c r="M621" s="12" t="str">
        <f t="shared" si="39"/>
        <v>Aprobado</v>
      </c>
      <c r="N621" s="15">
        <v>0.7</v>
      </c>
    </row>
    <row r="622" spans="1:14" x14ac:dyDescent="0.25">
      <c r="A622" s="10" t="s">
        <v>43</v>
      </c>
      <c r="B622" s="10" t="s">
        <v>86</v>
      </c>
      <c r="C622" s="10" t="s">
        <v>44</v>
      </c>
      <c r="D622" s="10" t="s">
        <v>81</v>
      </c>
      <c r="E622" s="10">
        <v>0</v>
      </c>
      <c r="F622" s="10">
        <v>3</v>
      </c>
      <c r="G622" s="10">
        <v>1</v>
      </c>
      <c r="H622" s="10">
        <v>1</v>
      </c>
      <c r="I622" s="10">
        <v>1</v>
      </c>
      <c r="J622" s="10">
        <f t="shared" si="36"/>
        <v>1.2</v>
      </c>
      <c r="K622" s="10">
        <f t="shared" si="37"/>
        <v>1</v>
      </c>
      <c r="L622" s="11" t="str">
        <f t="shared" si="38"/>
        <v>B</v>
      </c>
      <c r="M622" s="10" t="str">
        <f t="shared" si="39"/>
        <v>Desaprobado</v>
      </c>
      <c r="N622" s="14">
        <v>0.7</v>
      </c>
    </row>
    <row r="623" spans="1:14" x14ac:dyDescent="0.25">
      <c r="A623" s="12" t="s">
        <v>45</v>
      </c>
      <c r="B623" s="12" t="s">
        <v>86</v>
      </c>
      <c r="C623" s="12" t="s">
        <v>46</v>
      </c>
      <c r="D623" s="12" t="s">
        <v>81</v>
      </c>
      <c r="E623" s="12">
        <v>0</v>
      </c>
      <c r="F623" s="12">
        <v>1</v>
      </c>
      <c r="G623" s="12">
        <v>2</v>
      </c>
      <c r="H623" s="12">
        <v>0</v>
      </c>
      <c r="I623" s="12">
        <v>2</v>
      </c>
      <c r="J623" s="12">
        <f t="shared" si="36"/>
        <v>1</v>
      </c>
      <c r="K623" s="12">
        <f t="shared" si="37"/>
        <v>1</v>
      </c>
      <c r="L623" s="13" t="str">
        <f t="shared" si="38"/>
        <v>B</v>
      </c>
      <c r="M623" s="12" t="str">
        <f t="shared" si="39"/>
        <v>Desaprobado</v>
      </c>
      <c r="N623" s="15">
        <v>0.25</v>
      </c>
    </row>
    <row r="624" spans="1:14" x14ac:dyDescent="0.25">
      <c r="A624" s="10" t="s">
        <v>47</v>
      </c>
      <c r="B624" s="10" t="s">
        <v>86</v>
      </c>
      <c r="C624" s="10" t="s">
        <v>48</v>
      </c>
      <c r="D624" s="10" t="s">
        <v>81</v>
      </c>
      <c r="E624" s="10">
        <v>3</v>
      </c>
      <c r="F624" s="10">
        <v>1</v>
      </c>
      <c r="G624" s="10">
        <v>3</v>
      </c>
      <c r="H624" s="10">
        <v>0</v>
      </c>
      <c r="I624" s="10">
        <v>0</v>
      </c>
      <c r="J624" s="10">
        <f t="shared" si="36"/>
        <v>1.4</v>
      </c>
      <c r="K624" s="10">
        <f t="shared" si="37"/>
        <v>1</v>
      </c>
      <c r="L624" s="11" t="str">
        <f t="shared" si="38"/>
        <v>B</v>
      </c>
      <c r="M624" s="10" t="str">
        <f t="shared" si="39"/>
        <v>Desaprobado</v>
      </c>
      <c r="N624" s="14">
        <v>0.2</v>
      </c>
    </row>
    <row r="625" spans="1:14" x14ac:dyDescent="0.25">
      <c r="A625" s="12" t="s">
        <v>49</v>
      </c>
      <c r="B625" s="12" t="s">
        <v>86</v>
      </c>
      <c r="C625" s="12" t="s">
        <v>50</v>
      </c>
      <c r="D625" s="12" t="s">
        <v>81</v>
      </c>
      <c r="E625" s="12">
        <v>3</v>
      </c>
      <c r="F625" s="12">
        <v>3</v>
      </c>
      <c r="G625" s="12">
        <v>3</v>
      </c>
      <c r="H625" s="12">
        <v>2</v>
      </c>
      <c r="I625" s="12">
        <v>0</v>
      </c>
      <c r="J625" s="12">
        <f t="shared" si="36"/>
        <v>2.2000000000000002</v>
      </c>
      <c r="K625" s="12">
        <f t="shared" si="37"/>
        <v>2</v>
      </c>
      <c r="L625" s="13" t="str">
        <f t="shared" si="38"/>
        <v>A</v>
      </c>
      <c r="M625" s="12" t="str">
        <f t="shared" si="39"/>
        <v>Aprobado</v>
      </c>
      <c r="N625" s="15">
        <v>0.65</v>
      </c>
    </row>
    <row r="626" spans="1:14" x14ac:dyDescent="0.25">
      <c r="A626" s="10" t="s">
        <v>51</v>
      </c>
      <c r="B626" s="10" t="s">
        <v>86</v>
      </c>
      <c r="C626" s="10" t="s">
        <v>52</v>
      </c>
      <c r="D626" s="10" t="s">
        <v>81</v>
      </c>
      <c r="E626" s="10">
        <v>2</v>
      </c>
      <c r="F626" s="10">
        <v>3</v>
      </c>
      <c r="G626" s="10">
        <v>1</v>
      </c>
      <c r="H626" s="10">
        <v>2</v>
      </c>
      <c r="I626" s="10">
        <v>3</v>
      </c>
      <c r="J626" s="10">
        <f t="shared" si="36"/>
        <v>2.2000000000000002</v>
      </c>
      <c r="K626" s="10">
        <f t="shared" si="37"/>
        <v>2</v>
      </c>
      <c r="L626" s="11" t="str">
        <f t="shared" si="38"/>
        <v>A</v>
      </c>
      <c r="M626" s="10" t="str">
        <f t="shared" si="39"/>
        <v>Aprobado</v>
      </c>
      <c r="N626" s="14">
        <v>0.1</v>
      </c>
    </row>
    <row r="627" spans="1:14" x14ac:dyDescent="0.25">
      <c r="A627" s="12" t="s">
        <v>53</v>
      </c>
      <c r="B627" s="12" t="s">
        <v>86</v>
      </c>
      <c r="C627" s="12" t="s">
        <v>54</v>
      </c>
      <c r="D627" s="12" t="s">
        <v>81</v>
      </c>
      <c r="E627" s="12">
        <v>2</v>
      </c>
      <c r="F627" s="12">
        <v>2</v>
      </c>
      <c r="G627" s="12">
        <v>3</v>
      </c>
      <c r="H627" s="12">
        <v>1</v>
      </c>
      <c r="I627" s="12">
        <v>1</v>
      </c>
      <c r="J627" s="12">
        <f t="shared" si="36"/>
        <v>1.8</v>
      </c>
      <c r="K627" s="12">
        <f t="shared" si="37"/>
        <v>2</v>
      </c>
      <c r="L627" s="13" t="str">
        <f t="shared" si="38"/>
        <v>A</v>
      </c>
      <c r="M627" s="12" t="str">
        <f t="shared" si="39"/>
        <v>Aprobado</v>
      </c>
      <c r="N627" s="15">
        <v>0.9</v>
      </c>
    </row>
    <row r="628" spans="1:14" x14ac:dyDescent="0.25">
      <c r="A628" s="10" t="s">
        <v>55</v>
      </c>
      <c r="B628" s="10" t="s">
        <v>86</v>
      </c>
      <c r="C628" s="10" t="s">
        <v>56</v>
      </c>
      <c r="D628" s="10" t="s">
        <v>81</v>
      </c>
      <c r="E628" s="10">
        <v>2</v>
      </c>
      <c r="F628" s="10">
        <v>3</v>
      </c>
      <c r="G628" s="10">
        <v>0</v>
      </c>
      <c r="H628" s="10">
        <v>0</v>
      </c>
      <c r="I628" s="10">
        <v>3</v>
      </c>
      <c r="J628" s="10">
        <f t="shared" si="36"/>
        <v>1.6</v>
      </c>
      <c r="K628" s="10">
        <f t="shared" si="37"/>
        <v>2</v>
      </c>
      <c r="L628" s="11" t="str">
        <f t="shared" si="38"/>
        <v>A</v>
      </c>
      <c r="M628" s="10" t="str">
        <f t="shared" si="39"/>
        <v>Aprobado</v>
      </c>
      <c r="N628" s="14">
        <v>0.7</v>
      </c>
    </row>
    <row r="629" spans="1:14" x14ac:dyDescent="0.25">
      <c r="A629" s="12" t="s">
        <v>57</v>
      </c>
      <c r="B629" s="12" t="s">
        <v>86</v>
      </c>
      <c r="C629" s="12" t="s">
        <v>58</v>
      </c>
      <c r="D629" s="12" t="s">
        <v>81</v>
      </c>
      <c r="E629" s="12">
        <v>3</v>
      </c>
      <c r="F629" s="12">
        <v>1</v>
      </c>
      <c r="G629" s="12">
        <v>1</v>
      </c>
      <c r="H629" s="12">
        <v>2</v>
      </c>
      <c r="I629" s="12">
        <v>1</v>
      </c>
      <c r="J629" s="12">
        <f t="shared" si="36"/>
        <v>1.6</v>
      </c>
      <c r="K629" s="12">
        <f t="shared" si="37"/>
        <v>2</v>
      </c>
      <c r="L629" s="13" t="str">
        <f t="shared" si="38"/>
        <v>A</v>
      </c>
      <c r="M629" s="12" t="str">
        <f t="shared" si="39"/>
        <v>Aprobado</v>
      </c>
      <c r="N629" s="15">
        <v>0.95</v>
      </c>
    </row>
    <row r="630" spans="1:14" x14ac:dyDescent="0.25">
      <c r="A630" s="10" t="s">
        <v>59</v>
      </c>
      <c r="B630" s="10" t="s">
        <v>86</v>
      </c>
      <c r="C630" s="10" t="s">
        <v>60</v>
      </c>
      <c r="D630" s="10" t="s">
        <v>81</v>
      </c>
      <c r="E630" s="10">
        <v>2</v>
      </c>
      <c r="F630" s="10">
        <v>3</v>
      </c>
      <c r="G630" s="10">
        <v>3</v>
      </c>
      <c r="H630" s="10">
        <v>0</v>
      </c>
      <c r="I630" s="10">
        <v>3</v>
      </c>
      <c r="J630" s="10">
        <f t="shared" si="36"/>
        <v>2.2000000000000002</v>
      </c>
      <c r="K630" s="10">
        <f t="shared" si="37"/>
        <v>2</v>
      </c>
      <c r="L630" s="11" t="str">
        <f t="shared" si="38"/>
        <v>A</v>
      </c>
      <c r="M630" s="10" t="str">
        <f t="shared" si="39"/>
        <v>Aprobado</v>
      </c>
      <c r="N630" s="14">
        <v>0.6</v>
      </c>
    </row>
    <row r="631" spans="1:14" x14ac:dyDescent="0.25">
      <c r="A631" s="12" t="s">
        <v>61</v>
      </c>
      <c r="B631" s="12" t="s">
        <v>86</v>
      </c>
      <c r="C631" s="12" t="s">
        <v>62</v>
      </c>
      <c r="D631" s="12" t="s">
        <v>81</v>
      </c>
      <c r="E631" s="12">
        <v>2</v>
      </c>
      <c r="F631" s="12">
        <v>3</v>
      </c>
      <c r="G631" s="12">
        <v>3</v>
      </c>
      <c r="H631" s="12">
        <v>2</v>
      </c>
      <c r="I631" s="12">
        <v>2</v>
      </c>
      <c r="J631" s="12">
        <f t="shared" si="36"/>
        <v>2.4</v>
      </c>
      <c r="K631" s="12">
        <f t="shared" si="37"/>
        <v>2</v>
      </c>
      <c r="L631" s="13" t="str">
        <f t="shared" si="38"/>
        <v>A</v>
      </c>
      <c r="M631" s="12" t="str">
        <f t="shared" si="39"/>
        <v>Aprobado</v>
      </c>
      <c r="N631" s="15">
        <v>0.1</v>
      </c>
    </row>
    <row r="632" spans="1:14" x14ac:dyDescent="0.25">
      <c r="A632" s="10" t="s">
        <v>63</v>
      </c>
      <c r="B632" s="10" t="s">
        <v>86</v>
      </c>
      <c r="C632" s="10" t="s">
        <v>64</v>
      </c>
      <c r="D632" s="10" t="s">
        <v>81</v>
      </c>
      <c r="E632" s="10">
        <v>1</v>
      </c>
      <c r="F632" s="10">
        <v>1</v>
      </c>
      <c r="G632" s="10">
        <v>0</v>
      </c>
      <c r="H632" s="10">
        <v>2</v>
      </c>
      <c r="I632" s="10">
        <v>1</v>
      </c>
      <c r="J632" s="10">
        <f t="shared" si="36"/>
        <v>1</v>
      </c>
      <c r="K632" s="10">
        <f t="shared" si="37"/>
        <v>1</v>
      </c>
      <c r="L632" s="11" t="str">
        <f t="shared" si="38"/>
        <v>B</v>
      </c>
      <c r="M632" s="10" t="str">
        <f t="shared" si="39"/>
        <v>Desaprobado</v>
      </c>
      <c r="N632" s="14">
        <v>0.9</v>
      </c>
    </row>
    <row r="633" spans="1:14" x14ac:dyDescent="0.25">
      <c r="A633" s="12" t="s">
        <v>65</v>
      </c>
      <c r="B633" s="12" t="s">
        <v>86</v>
      </c>
      <c r="C633" s="12" t="s">
        <v>66</v>
      </c>
      <c r="D633" s="12" t="s">
        <v>81</v>
      </c>
      <c r="E633" s="12">
        <v>3</v>
      </c>
      <c r="F633" s="12">
        <v>3</v>
      </c>
      <c r="G633" s="12">
        <v>2</v>
      </c>
      <c r="H633" s="12">
        <v>2</v>
      </c>
      <c r="I633" s="12">
        <v>1</v>
      </c>
      <c r="J633" s="12">
        <f t="shared" si="36"/>
        <v>2.2000000000000002</v>
      </c>
      <c r="K633" s="12">
        <f t="shared" si="37"/>
        <v>2</v>
      </c>
      <c r="L633" s="13" t="str">
        <f t="shared" si="38"/>
        <v>A</v>
      </c>
      <c r="M633" s="12" t="str">
        <f t="shared" si="39"/>
        <v>Aprobado</v>
      </c>
      <c r="N633" s="15">
        <v>0.95</v>
      </c>
    </row>
    <row r="634" spans="1:14" x14ac:dyDescent="0.25">
      <c r="A634" s="10" t="s">
        <v>67</v>
      </c>
      <c r="B634" s="10" t="s">
        <v>86</v>
      </c>
      <c r="C634" s="10" t="s">
        <v>68</v>
      </c>
      <c r="D634" s="10" t="s">
        <v>81</v>
      </c>
      <c r="E634" s="10">
        <v>3</v>
      </c>
      <c r="F634" s="10">
        <v>3</v>
      </c>
      <c r="G634" s="10">
        <v>1</v>
      </c>
      <c r="H634" s="10">
        <v>3</v>
      </c>
      <c r="I634" s="10">
        <v>0</v>
      </c>
      <c r="J634" s="10">
        <f t="shared" si="36"/>
        <v>2</v>
      </c>
      <c r="K634" s="10">
        <f t="shared" si="37"/>
        <v>2</v>
      </c>
      <c r="L634" s="11" t="str">
        <f t="shared" si="38"/>
        <v>A</v>
      </c>
      <c r="M634" s="10" t="str">
        <f t="shared" si="39"/>
        <v>Aprobado</v>
      </c>
      <c r="N634" s="14">
        <v>0.45</v>
      </c>
    </row>
    <row r="635" spans="1:14" x14ac:dyDescent="0.25">
      <c r="A635" s="12" t="s">
        <v>69</v>
      </c>
      <c r="B635" s="12" t="s">
        <v>86</v>
      </c>
      <c r="C635" s="12" t="s">
        <v>70</v>
      </c>
      <c r="D635" s="12" t="s">
        <v>81</v>
      </c>
      <c r="E635" s="12">
        <v>3</v>
      </c>
      <c r="F635" s="12">
        <v>0</v>
      </c>
      <c r="G635" s="12">
        <v>2</v>
      </c>
      <c r="H635" s="12">
        <v>3</v>
      </c>
      <c r="I635" s="12">
        <v>2</v>
      </c>
      <c r="J635" s="12">
        <f t="shared" si="36"/>
        <v>2</v>
      </c>
      <c r="K635" s="12">
        <f t="shared" si="37"/>
        <v>2</v>
      </c>
      <c r="L635" s="13" t="str">
        <f t="shared" si="38"/>
        <v>A</v>
      </c>
      <c r="M635" s="12" t="str">
        <f t="shared" si="39"/>
        <v>Aprobado</v>
      </c>
      <c r="N635" s="15">
        <v>0.2</v>
      </c>
    </row>
    <row r="636" spans="1:14" x14ac:dyDescent="0.25">
      <c r="A636" s="10" t="s">
        <v>71</v>
      </c>
      <c r="B636" s="10" t="s">
        <v>86</v>
      </c>
      <c r="C636" s="10" t="s">
        <v>72</v>
      </c>
      <c r="D636" s="10" t="s">
        <v>81</v>
      </c>
      <c r="E636" s="10">
        <v>1</v>
      </c>
      <c r="F636" s="10">
        <v>0</v>
      </c>
      <c r="G636" s="10">
        <v>3</v>
      </c>
      <c r="H636" s="10">
        <v>2</v>
      </c>
      <c r="I636" s="10">
        <v>1</v>
      </c>
      <c r="J636" s="10">
        <f t="shared" si="36"/>
        <v>1.4</v>
      </c>
      <c r="K636" s="10">
        <f t="shared" si="37"/>
        <v>1</v>
      </c>
      <c r="L636" s="11" t="str">
        <f t="shared" si="38"/>
        <v>B</v>
      </c>
      <c r="M636" s="10" t="str">
        <f t="shared" si="39"/>
        <v>Desaprobado</v>
      </c>
      <c r="N636" s="14">
        <v>0.95</v>
      </c>
    </row>
    <row r="637" spans="1:14" x14ac:dyDescent="0.25">
      <c r="A637" s="12" t="s">
        <v>73</v>
      </c>
      <c r="B637" s="12" t="s">
        <v>86</v>
      </c>
      <c r="C637" s="12" t="s">
        <v>74</v>
      </c>
      <c r="D637" s="12" t="s">
        <v>81</v>
      </c>
      <c r="E637" s="12">
        <v>2</v>
      </c>
      <c r="F637" s="12">
        <v>3</v>
      </c>
      <c r="G637" s="12">
        <v>1</v>
      </c>
      <c r="H637" s="12">
        <v>1</v>
      </c>
      <c r="I637" s="12">
        <v>0</v>
      </c>
      <c r="J637" s="12">
        <f t="shared" si="36"/>
        <v>1.4</v>
      </c>
      <c r="K637" s="12">
        <f t="shared" si="37"/>
        <v>1</v>
      </c>
      <c r="L637" s="13" t="str">
        <f t="shared" si="38"/>
        <v>B</v>
      </c>
      <c r="M637" s="12" t="str">
        <f t="shared" si="39"/>
        <v>Desaprobado</v>
      </c>
      <c r="N637" s="15">
        <v>0.8</v>
      </c>
    </row>
    <row r="638" spans="1:14" x14ac:dyDescent="0.25">
      <c r="A638" s="10" t="s">
        <v>75</v>
      </c>
      <c r="B638" s="10" t="s">
        <v>86</v>
      </c>
      <c r="C638" s="10" t="s">
        <v>76</v>
      </c>
      <c r="D638" s="10" t="s">
        <v>81</v>
      </c>
      <c r="E638" s="10">
        <v>3</v>
      </c>
      <c r="F638" s="10">
        <v>2</v>
      </c>
      <c r="G638" s="10">
        <v>3</v>
      </c>
      <c r="H638" s="10">
        <v>2</v>
      </c>
      <c r="I638" s="10">
        <v>1</v>
      </c>
      <c r="J638" s="10">
        <f t="shared" si="36"/>
        <v>2.2000000000000002</v>
      </c>
      <c r="K638" s="10">
        <f t="shared" si="37"/>
        <v>2</v>
      </c>
      <c r="L638" s="11" t="str">
        <f t="shared" si="38"/>
        <v>A</v>
      </c>
      <c r="M638" s="10" t="str">
        <f t="shared" si="39"/>
        <v>Aprobado</v>
      </c>
      <c r="N638" s="14">
        <v>0.25</v>
      </c>
    </row>
    <row r="639" spans="1:14" x14ac:dyDescent="0.25">
      <c r="A639" s="12" t="s">
        <v>77</v>
      </c>
      <c r="B639" s="12" t="s">
        <v>86</v>
      </c>
      <c r="C639" s="12" t="s">
        <v>78</v>
      </c>
      <c r="D639" s="12" t="s">
        <v>81</v>
      </c>
      <c r="E639" s="12">
        <v>0</v>
      </c>
      <c r="F639" s="12">
        <v>1</v>
      </c>
      <c r="G639" s="12">
        <v>1</v>
      </c>
      <c r="H639" s="12">
        <v>3</v>
      </c>
      <c r="I639" s="12">
        <v>2</v>
      </c>
      <c r="J639" s="12">
        <f t="shared" si="36"/>
        <v>1.4</v>
      </c>
      <c r="K639" s="12">
        <f t="shared" si="37"/>
        <v>1</v>
      </c>
      <c r="L639" s="13" t="str">
        <f t="shared" si="38"/>
        <v>B</v>
      </c>
      <c r="M639" s="12" t="str">
        <f t="shared" si="39"/>
        <v>Desaprobado</v>
      </c>
      <c r="N639" s="15">
        <v>0.4</v>
      </c>
    </row>
    <row r="640" spans="1:14" x14ac:dyDescent="0.25">
      <c r="A640" s="10" t="s">
        <v>14</v>
      </c>
      <c r="B640" s="10" t="s">
        <v>86</v>
      </c>
      <c r="C640" s="10" t="s">
        <v>16</v>
      </c>
      <c r="D640" s="10" t="s">
        <v>82</v>
      </c>
      <c r="E640" s="10">
        <v>1</v>
      </c>
      <c r="F640" s="10">
        <v>0</v>
      </c>
      <c r="G640" s="10">
        <v>3</v>
      </c>
      <c r="H640" s="10">
        <v>0</v>
      </c>
      <c r="I640" s="10">
        <v>2</v>
      </c>
      <c r="J640" s="10">
        <f t="shared" si="36"/>
        <v>1.2</v>
      </c>
      <c r="K640" s="10">
        <f t="shared" si="37"/>
        <v>1</v>
      </c>
      <c r="L640" s="11" t="str">
        <f t="shared" si="38"/>
        <v>B</v>
      </c>
      <c r="M640" s="10" t="str">
        <f t="shared" si="39"/>
        <v>Desaprobado</v>
      </c>
      <c r="N640" s="14">
        <v>0.4</v>
      </c>
    </row>
    <row r="641" spans="1:14" x14ac:dyDescent="0.25">
      <c r="A641" s="12" t="s">
        <v>19</v>
      </c>
      <c r="B641" s="12" t="s">
        <v>86</v>
      </c>
      <c r="C641" s="12" t="s">
        <v>20</v>
      </c>
      <c r="D641" s="12" t="s">
        <v>82</v>
      </c>
      <c r="E641" s="12">
        <v>0</v>
      </c>
      <c r="F641" s="12">
        <v>1</v>
      </c>
      <c r="G641" s="12">
        <v>3</v>
      </c>
      <c r="H641" s="12">
        <v>2</v>
      </c>
      <c r="I641" s="12">
        <v>3</v>
      </c>
      <c r="J641" s="12">
        <f t="shared" si="36"/>
        <v>1.8</v>
      </c>
      <c r="K641" s="12">
        <f t="shared" si="37"/>
        <v>2</v>
      </c>
      <c r="L641" s="13" t="str">
        <f t="shared" si="38"/>
        <v>A</v>
      </c>
      <c r="M641" s="12" t="str">
        <f t="shared" si="39"/>
        <v>Aprobado</v>
      </c>
      <c r="N641" s="15">
        <v>0.5</v>
      </c>
    </row>
    <row r="642" spans="1:14" x14ac:dyDescent="0.25">
      <c r="A642" s="10" t="s">
        <v>22</v>
      </c>
      <c r="B642" s="10" t="s">
        <v>86</v>
      </c>
      <c r="C642" s="10" t="s">
        <v>23</v>
      </c>
      <c r="D642" s="10" t="s">
        <v>82</v>
      </c>
      <c r="E642" s="10">
        <v>3</v>
      </c>
      <c r="F642" s="10">
        <v>2</v>
      </c>
      <c r="G642" s="10">
        <v>2</v>
      </c>
      <c r="H642" s="10">
        <v>3</v>
      </c>
      <c r="I642" s="10">
        <v>1</v>
      </c>
      <c r="J642" s="10">
        <f t="shared" si="36"/>
        <v>2.2000000000000002</v>
      </c>
      <c r="K642" s="10">
        <f t="shared" si="37"/>
        <v>2</v>
      </c>
      <c r="L642" s="11" t="str">
        <f t="shared" si="38"/>
        <v>A</v>
      </c>
      <c r="M642" s="10" t="str">
        <f t="shared" si="39"/>
        <v>Aprobado</v>
      </c>
      <c r="N642" s="14">
        <v>0.7</v>
      </c>
    </row>
    <row r="643" spans="1:14" x14ac:dyDescent="0.25">
      <c r="A643" s="12" t="s">
        <v>25</v>
      </c>
      <c r="B643" s="12" t="s">
        <v>86</v>
      </c>
      <c r="C643" s="12" t="s">
        <v>26</v>
      </c>
      <c r="D643" s="12" t="s">
        <v>82</v>
      </c>
      <c r="E643" s="12">
        <v>3</v>
      </c>
      <c r="F643" s="12">
        <v>3</v>
      </c>
      <c r="G643" s="12">
        <v>3</v>
      </c>
      <c r="H643" s="12">
        <v>3</v>
      </c>
      <c r="I643" s="12">
        <v>3</v>
      </c>
      <c r="J643" s="12">
        <f t="shared" ref="J643:J697" si="40">+AVERAGE(E643:I643)</f>
        <v>3</v>
      </c>
      <c r="K643" s="12">
        <f t="shared" ref="K643:K697" si="41">+ROUND(J643,0)</f>
        <v>3</v>
      </c>
      <c r="L643" s="13" t="str">
        <f t="shared" ref="L643:L697" si="42">+_xlfn.XLOOKUP(K643,$R$3:$R$6,$S$3:$S$6)</f>
        <v>AD</v>
      </c>
      <c r="M643" s="12" t="str">
        <f t="shared" ref="M643:M697" si="43">+IF(OR(L643="AD",L643="A"),"Aprobado","Desaprobado")</f>
        <v>Aprobado</v>
      </c>
      <c r="N643" s="15">
        <v>0.7</v>
      </c>
    </row>
    <row r="644" spans="1:14" x14ac:dyDescent="0.25">
      <c r="A644" s="10" t="s">
        <v>28</v>
      </c>
      <c r="B644" s="10" t="s">
        <v>86</v>
      </c>
      <c r="C644" s="10" t="s">
        <v>29</v>
      </c>
      <c r="D644" s="10" t="s">
        <v>82</v>
      </c>
      <c r="E644" s="10">
        <v>3</v>
      </c>
      <c r="F644" s="10">
        <v>3</v>
      </c>
      <c r="G644" s="10">
        <v>1</v>
      </c>
      <c r="H644" s="10">
        <v>3</v>
      </c>
      <c r="I644" s="10">
        <v>1</v>
      </c>
      <c r="J644" s="10">
        <f t="shared" si="40"/>
        <v>2.2000000000000002</v>
      </c>
      <c r="K644" s="10">
        <f t="shared" si="41"/>
        <v>2</v>
      </c>
      <c r="L644" s="11" t="str">
        <f t="shared" si="42"/>
        <v>A</v>
      </c>
      <c r="M644" s="10" t="str">
        <f t="shared" si="43"/>
        <v>Aprobado</v>
      </c>
      <c r="N644" s="14">
        <v>0.25</v>
      </c>
    </row>
    <row r="645" spans="1:14" x14ac:dyDescent="0.25">
      <c r="A645" s="12" t="s">
        <v>31</v>
      </c>
      <c r="B645" s="12" t="s">
        <v>86</v>
      </c>
      <c r="C645" s="12" t="s">
        <v>32</v>
      </c>
      <c r="D645" s="12" t="s">
        <v>82</v>
      </c>
      <c r="E645" s="12">
        <v>1</v>
      </c>
      <c r="F645" s="12">
        <v>0</v>
      </c>
      <c r="G645" s="12">
        <v>0</v>
      </c>
      <c r="H645" s="12">
        <v>1</v>
      </c>
      <c r="I645" s="12">
        <v>2</v>
      </c>
      <c r="J645" s="12">
        <f t="shared" si="40"/>
        <v>0.8</v>
      </c>
      <c r="K645" s="12">
        <f t="shared" si="41"/>
        <v>1</v>
      </c>
      <c r="L645" s="13" t="str">
        <f t="shared" si="42"/>
        <v>B</v>
      </c>
      <c r="M645" s="12" t="str">
        <f t="shared" si="43"/>
        <v>Desaprobado</v>
      </c>
      <c r="N645" s="15">
        <v>0.2</v>
      </c>
    </row>
    <row r="646" spans="1:14" x14ac:dyDescent="0.25">
      <c r="A646" s="10" t="s">
        <v>33</v>
      </c>
      <c r="B646" s="10" t="s">
        <v>86</v>
      </c>
      <c r="C646" s="10" t="s">
        <v>34</v>
      </c>
      <c r="D646" s="10" t="s">
        <v>82</v>
      </c>
      <c r="E646" s="10">
        <v>0</v>
      </c>
      <c r="F646" s="10">
        <v>2</v>
      </c>
      <c r="G646" s="10">
        <v>1</v>
      </c>
      <c r="H646" s="10">
        <v>2</v>
      </c>
      <c r="I646" s="10">
        <v>0</v>
      </c>
      <c r="J646" s="10">
        <f t="shared" si="40"/>
        <v>1</v>
      </c>
      <c r="K646" s="10">
        <f t="shared" si="41"/>
        <v>1</v>
      </c>
      <c r="L646" s="11" t="str">
        <f t="shared" si="42"/>
        <v>B</v>
      </c>
      <c r="M646" s="10" t="str">
        <f t="shared" si="43"/>
        <v>Desaprobado</v>
      </c>
      <c r="N646" s="14">
        <v>0.65</v>
      </c>
    </row>
    <row r="647" spans="1:14" x14ac:dyDescent="0.25">
      <c r="A647" s="12" t="s">
        <v>35</v>
      </c>
      <c r="B647" s="12" t="s">
        <v>86</v>
      </c>
      <c r="C647" s="12" t="s">
        <v>36</v>
      </c>
      <c r="D647" s="12" t="s">
        <v>82</v>
      </c>
      <c r="E647" s="12">
        <v>0</v>
      </c>
      <c r="F647" s="12">
        <v>2</v>
      </c>
      <c r="G647" s="12">
        <v>0</v>
      </c>
      <c r="H647" s="12">
        <v>0</v>
      </c>
      <c r="I647" s="12">
        <v>0</v>
      </c>
      <c r="J647" s="12">
        <f t="shared" si="40"/>
        <v>0.4</v>
      </c>
      <c r="K647" s="12">
        <f t="shared" si="41"/>
        <v>0</v>
      </c>
      <c r="L647" s="13" t="str">
        <f t="shared" si="42"/>
        <v>C</v>
      </c>
      <c r="M647" s="12" t="str">
        <f t="shared" si="43"/>
        <v>Desaprobado</v>
      </c>
      <c r="N647" s="15">
        <v>0.7</v>
      </c>
    </row>
    <row r="648" spans="1:14" x14ac:dyDescent="0.25">
      <c r="A648" s="10" t="s">
        <v>37</v>
      </c>
      <c r="B648" s="10" t="s">
        <v>86</v>
      </c>
      <c r="C648" s="10" t="s">
        <v>38</v>
      </c>
      <c r="D648" s="10" t="s">
        <v>82</v>
      </c>
      <c r="E648" s="10">
        <v>1</v>
      </c>
      <c r="F648" s="10">
        <v>3</v>
      </c>
      <c r="G648" s="10">
        <v>3</v>
      </c>
      <c r="H648" s="10">
        <v>0</v>
      </c>
      <c r="I648" s="10">
        <v>2</v>
      </c>
      <c r="J648" s="10">
        <f t="shared" si="40"/>
        <v>1.8</v>
      </c>
      <c r="K648" s="10">
        <f t="shared" si="41"/>
        <v>2</v>
      </c>
      <c r="L648" s="11" t="str">
        <f t="shared" si="42"/>
        <v>A</v>
      </c>
      <c r="M648" s="10" t="str">
        <f t="shared" si="43"/>
        <v>Aprobado</v>
      </c>
      <c r="N648" s="14">
        <v>0.9</v>
      </c>
    </row>
    <row r="649" spans="1:14" x14ac:dyDescent="0.25">
      <c r="A649" s="12" t="s">
        <v>39</v>
      </c>
      <c r="B649" s="12" t="s">
        <v>86</v>
      </c>
      <c r="C649" s="12" t="s">
        <v>40</v>
      </c>
      <c r="D649" s="12" t="s">
        <v>82</v>
      </c>
      <c r="E649" s="12">
        <v>3</v>
      </c>
      <c r="F649" s="12">
        <v>3</v>
      </c>
      <c r="G649" s="12">
        <v>0</v>
      </c>
      <c r="H649" s="12">
        <v>1</v>
      </c>
      <c r="I649" s="12">
        <v>2</v>
      </c>
      <c r="J649" s="12">
        <f t="shared" si="40"/>
        <v>1.8</v>
      </c>
      <c r="K649" s="12">
        <f t="shared" si="41"/>
        <v>2</v>
      </c>
      <c r="L649" s="13" t="str">
        <f t="shared" si="42"/>
        <v>A</v>
      </c>
      <c r="M649" s="12" t="str">
        <f t="shared" si="43"/>
        <v>Aprobado</v>
      </c>
      <c r="N649" s="15">
        <v>0.7</v>
      </c>
    </row>
    <row r="650" spans="1:14" x14ac:dyDescent="0.25">
      <c r="A650" s="10" t="s">
        <v>41</v>
      </c>
      <c r="B650" s="10" t="s">
        <v>86</v>
      </c>
      <c r="C650" s="10" t="s">
        <v>42</v>
      </c>
      <c r="D650" s="10" t="s">
        <v>82</v>
      </c>
      <c r="E650" s="10">
        <v>0</v>
      </c>
      <c r="F650" s="10">
        <v>1</v>
      </c>
      <c r="G650" s="10">
        <v>0</v>
      </c>
      <c r="H650" s="10">
        <v>2</v>
      </c>
      <c r="I650" s="10">
        <v>3</v>
      </c>
      <c r="J650" s="10">
        <f t="shared" si="40"/>
        <v>1.2</v>
      </c>
      <c r="K650" s="10">
        <f t="shared" si="41"/>
        <v>1</v>
      </c>
      <c r="L650" s="11" t="str">
        <f t="shared" si="42"/>
        <v>B</v>
      </c>
      <c r="M650" s="10" t="str">
        <f t="shared" si="43"/>
        <v>Desaprobado</v>
      </c>
      <c r="N650" s="14">
        <v>0.95</v>
      </c>
    </row>
    <row r="651" spans="1:14" x14ac:dyDescent="0.25">
      <c r="A651" s="12" t="s">
        <v>43</v>
      </c>
      <c r="B651" s="12" t="s">
        <v>86</v>
      </c>
      <c r="C651" s="12" t="s">
        <v>44</v>
      </c>
      <c r="D651" s="12" t="s">
        <v>82</v>
      </c>
      <c r="E651" s="12">
        <v>1</v>
      </c>
      <c r="F651" s="12">
        <v>0</v>
      </c>
      <c r="G651" s="12">
        <v>3</v>
      </c>
      <c r="H651" s="12">
        <v>2</v>
      </c>
      <c r="I651" s="12">
        <v>1</v>
      </c>
      <c r="J651" s="12">
        <f t="shared" si="40"/>
        <v>1.4</v>
      </c>
      <c r="K651" s="12">
        <f t="shared" si="41"/>
        <v>1</v>
      </c>
      <c r="L651" s="13" t="str">
        <f t="shared" si="42"/>
        <v>B</v>
      </c>
      <c r="M651" s="12" t="str">
        <f t="shared" si="43"/>
        <v>Desaprobado</v>
      </c>
      <c r="N651" s="15">
        <v>0.6</v>
      </c>
    </row>
    <row r="652" spans="1:14" x14ac:dyDescent="0.25">
      <c r="A652" s="10" t="s">
        <v>45</v>
      </c>
      <c r="B652" s="10" t="s">
        <v>86</v>
      </c>
      <c r="C652" s="10" t="s">
        <v>46</v>
      </c>
      <c r="D652" s="10" t="s">
        <v>82</v>
      </c>
      <c r="E652" s="10">
        <v>2</v>
      </c>
      <c r="F652" s="10">
        <v>1</v>
      </c>
      <c r="G652" s="10">
        <v>1</v>
      </c>
      <c r="H652" s="10">
        <v>0</v>
      </c>
      <c r="I652" s="10">
        <v>1</v>
      </c>
      <c r="J652" s="10">
        <f t="shared" si="40"/>
        <v>1</v>
      </c>
      <c r="K652" s="10">
        <f t="shared" si="41"/>
        <v>1</v>
      </c>
      <c r="L652" s="11" t="str">
        <f t="shared" si="42"/>
        <v>B</v>
      </c>
      <c r="M652" s="10" t="str">
        <f t="shared" si="43"/>
        <v>Desaprobado</v>
      </c>
      <c r="N652" s="14">
        <v>0.1</v>
      </c>
    </row>
    <row r="653" spans="1:14" x14ac:dyDescent="0.25">
      <c r="A653" s="12" t="s">
        <v>47</v>
      </c>
      <c r="B653" s="12" t="s">
        <v>86</v>
      </c>
      <c r="C653" s="12" t="s">
        <v>48</v>
      </c>
      <c r="D653" s="12" t="s">
        <v>82</v>
      </c>
      <c r="E653" s="12">
        <v>3</v>
      </c>
      <c r="F653" s="12">
        <v>2</v>
      </c>
      <c r="G653" s="12">
        <v>2</v>
      </c>
      <c r="H653" s="12">
        <v>1</v>
      </c>
      <c r="I653" s="12">
        <v>0</v>
      </c>
      <c r="J653" s="12">
        <f t="shared" si="40"/>
        <v>1.6</v>
      </c>
      <c r="K653" s="12">
        <f t="shared" si="41"/>
        <v>2</v>
      </c>
      <c r="L653" s="13" t="str">
        <f t="shared" si="42"/>
        <v>A</v>
      </c>
      <c r="M653" s="12" t="str">
        <f t="shared" si="43"/>
        <v>Aprobado</v>
      </c>
      <c r="N653" s="15">
        <v>0.9</v>
      </c>
    </row>
    <row r="654" spans="1:14" x14ac:dyDescent="0.25">
      <c r="A654" s="10" t="s">
        <v>49</v>
      </c>
      <c r="B654" s="10" t="s">
        <v>86</v>
      </c>
      <c r="C654" s="10" t="s">
        <v>50</v>
      </c>
      <c r="D654" s="10" t="s">
        <v>82</v>
      </c>
      <c r="E654" s="10">
        <v>2</v>
      </c>
      <c r="F654" s="10">
        <v>0</v>
      </c>
      <c r="G654" s="10">
        <v>0</v>
      </c>
      <c r="H654" s="10">
        <v>1</v>
      </c>
      <c r="I654" s="10">
        <v>2</v>
      </c>
      <c r="J654" s="10">
        <f t="shared" si="40"/>
        <v>1</v>
      </c>
      <c r="K654" s="10">
        <f t="shared" si="41"/>
        <v>1</v>
      </c>
      <c r="L654" s="11" t="str">
        <f t="shared" si="42"/>
        <v>B</v>
      </c>
      <c r="M654" s="10" t="str">
        <f t="shared" si="43"/>
        <v>Desaprobado</v>
      </c>
      <c r="N654" s="14">
        <v>0.95</v>
      </c>
    </row>
    <row r="655" spans="1:14" x14ac:dyDescent="0.25">
      <c r="A655" s="12" t="s">
        <v>51</v>
      </c>
      <c r="B655" s="12" t="s">
        <v>86</v>
      </c>
      <c r="C655" s="12" t="s">
        <v>52</v>
      </c>
      <c r="D655" s="12" t="s">
        <v>82</v>
      </c>
      <c r="E655" s="12">
        <v>1</v>
      </c>
      <c r="F655" s="12">
        <v>3</v>
      </c>
      <c r="G655" s="12">
        <v>3</v>
      </c>
      <c r="H655" s="12">
        <v>0</v>
      </c>
      <c r="I655" s="12">
        <v>1</v>
      </c>
      <c r="J655" s="12">
        <f t="shared" si="40"/>
        <v>1.6</v>
      </c>
      <c r="K655" s="12">
        <f t="shared" si="41"/>
        <v>2</v>
      </c>
      <c r="L655" s="13" t="str">
        <f t="shared" si="42"/>
        <v>A</v>
      </c>
      <c r="M655" s="12" t="str">
        <f t="shared" si="43"/>
        <v>Aprobado</v>
      </c>
      <c r="N655" s="15">
        <v>0.8</v>
      </c>
    </row>
    <row r="656" spans="1:14" x14ac:dyDescent="0.25">
      <c r="A656" s="10" t="s">
        <v>53</v>
      </c>
      <c r="B656" s="10" t="s">
        <v>86</v>
      </c>
      <c r="C656" s="10" t="s">
        <v>54</v>
      </c>
      <c r="D656" s="10" t="s">
        <v>82</v>
      </c>
      <c r="E656" s="10">
        <v>2</v>
      </c>
      <c r="F656" s="10">
        <v>0</v>
      </c>
      <c r="G656" s="10">
        <v>2</v>
      </c>
      <c r="H656" s="10">
        <v>1</v>
      </c>
      <c r="I656" s="10">
        <v>2</v>
      </c>
      <c r="J656" s="10">
        <f t="shared" si="40"/>
        <v>1.4</v>
      </c>
      <c r="K656" s="10">
        <f t="shared" si="41"/>
        <v>1</v>
      </c>
      <c r="L656" s="11" t="str">
        <f t="shared" si="42"/>
        <v>B</v>
      </c>
      <c r="M656" s="10" t="str">
        <f t="shared" si="43"/>
        <v>Desaprobado</v>
      </c>
      <c r="N656" s="14">
        <v>0.2</v>
      </c>
    </row>
    <row r="657" spans="1:14" x14ac:dyDescent="0.25">
      <c r="A657" s="12" t="s">
        <v>55</v>
      </c>
      <c r="B657" s="12" t="s">
        <v>86</v>
      </c>
      <c r="C657" s="12" t="s">
        <v>56</v>
      </c>
      <c r="D657" s="12" t="s">
        <v>82</v>
      </c>
      <c r="E657" s="12">
        <v>3</v>
      </c>
      <c r="F657" s="12">
        <v>2</v>
      </c>
      <c r="G657" s="12">
        <v>1</v>
      </c>
      <c r="H657" s="12">
        <v>2</v>
      </c>
      <c r="I657" s="12">
        <v>0</v>
      </c>
      <c r="J657" s="12">
        <f t="shared" si="40"/>
        <v>1.6</v>
      </c>
      <c r="K657" s="12">
        <f t="shared" si="41"/>
        <v>2</v>
      </c>
      <c r="L657" s="13" t="str">
        <f t="shared" si="42"/>
        <v>A</v>
      </c>
      <c r="M657" s="12" t="str">
        <f t="shared" si="43"/>
        <v>Aprobado</v>
      </c>
      <c r="N657" s="15">
        <v>0.95</v>
      </c>
    </row>
    <row r="658" spans="1:14" x14ac:dyDescent="0.25">
      <c r="A658" s="10" t="s">
        <v>57</v>
      </c>
      <c r="B658" s="10" t="s">
        <v>86</v>
      </c>
      <c r="C658" s="10" t="s">
        <v>58</v>
      </c>
      <c r="D658" s="10" t="s">
        <v>82</v>
      </c>
      <c r="E658" s="10">
        <v>0</v>
      </c>
      <c r="F658" s="10">
        <v>3</v>
      </c>
      <c r="G658" s="10">
        <v>0</v>
      </c>
      <c r="H658" s="10">
        <v>1</v>
      </c>
      <c r="I658" s="10">
        <v>1</v>
      </c>
      <c r="J658" s="10">
        <f t="shared" si="40"/>
        <v>1</v>
      </c>
      <c r="K658" s="10">
        <f t="shared" si="41"/>
        <v>1</v>
      </c>
      <c r="L658" s="11" t="str">
        <f t="shared" si="42"/>
        <v>B</v>
      </c>
      <c r="M658" s="10" t="str">
        <f t="shared" si="43"/>
        <v>Desaprobado</v>
      </c>
      <c r="N658" s="14">
        <v>0.8</v>
      </c>
    </row>
    <row r="659" spans="1:14" x14ac:dyDescent="0.25">
      <c r="A659" s="12" t="s">
        <v>59</v>
      </c>
      <c r="B659" s="12" t="s">
        <v>86</v>
      </c>
      <c r="C659" s="12" t="s">
        <v>60</v>
      </c>
      <c r="D659" s="12" t="s">
        <v>82</v>
      </c>
      <c r="E659" s="12">
        <v>0</v>
      </c>
      <c r="F659" s="12">
        <v>1</v>
      </c>
      <c r="G659" s="12">
        <v>0</v>
      </c>
      <c r="H659" s="12">
        <v>3</v>
      </c>
      <c r="I659" s="12">
        <v>2</v>
      </c>
      <c r="J659" s="12">
        <f t="shared" si="40"/>
        <v>1.2</v>
      </c>
      <c r="K659" s="12">
        <f t="shared" si="41"/>
        <v>1</v>
      </c>
      <c r="L659" s="13" t="str">
        <f t="shared" si="42"/>
        <v>B</v>
      </c>
      <c r="M659" s="12" t="str">
        <f t="shared" si="43"/>
        <v>Desaprobado</v>
      </c>
      <c r="N659" s="15">
        <v>0.25</v>
      </c>
    </row>
    <row r="660" spans="1:14" x14ac:dyDescent="0.25">
      <c r="A660" s="10" t="s">
        <v>61</v>
      </c>
      <c r="B660" s="10" t="s">
        <v>86</v>
      </c>
      <c r="C660" s="10" t="s">
        <v>62</v>
      </c>
      <c r="D660" s="10" t="s">
        <v>82</v>
      </c>
      <c r="E660" s="10">
        <v>3</v>
      </c>
      <c r="F660" s="10">
        <v>1</v>
      </c>
      <c r="G660" s="10">
        <v>1</v>
      </c>
      <c r="H660" s="10">
        <v>3</v>
      </c>
      <c r="I660" s="10">
        <v>2</v>
      </c>
      <c r="J660" s="10">
        <f t="shared" si="40"/>
        <v>2</v>
      </c>
      <c r="K660" s="10">
        <f t="shared" si="41"/>
        <v>2</v>
      </c>
      <c r="L660" s="11" t="str">
        <f t="shared" si="42"/>
        <v>A</v>
      </c>
      <c r="M660" s="10" t="str">
        <f t="shared" si="43"/>
        <v>Aprobado</v>
      </c>
      <c r="N660" s="14">
        <v>0.4</v>
      </c>
    </row>
    <row r="661" spans="1:14" x14ac:dyDescent="0.25">
      <c r="A661" s="12" t="s">
        <v>63</v>
      </c>
      <c r="B661" s="12" t="s">
        <v>86</v>
      </c>
      <c r="C661" s="12" t="s">
        <v>64</v>
      </c>
      <c r="D661" s="12" t="s">
        <v>82</v>
      </c>
      <c r="E661" s="12">
        <v>1</v>
      </c>
      <c r="F661" s="12">
        <v>3</v>
      </c>
      <c r="G661" s="12">
        <v>2</v>
      </c>
      <c r="H661" s="12">
        <v>3</v>
      </c>
      <c r="I661" s="12">
        <v>3</v>
      </c>
      <c r="J661" s="12">
        <f t="shared" si="40"/>
        <v>2.4</v>
      </c>
      <c r="K661" s="12">
        <f t="shared" si="41"/>
        <v>2</v>
      </c>
      <c r="L661" s="13" t="str">
        <f t="shared" si="42"/>
        <v>A</v>
      </c>
      <c r="M661" s="12" t="str">
        <f t="shared" si="43"/>
        <v>Aprobado</v>
      </c>
      <c r="N661" s="15">
        <v>0.4</v>
      </c>
    </row>
    <row r="662" spans="1:14" x14ac:dyDescent="0.25">
      <c r="A662" s="10" t="s">
        <v>65</v>
      </c>
      <c r="B662" s="10" t="s">
        <v>86</v>
      </c>
      <c r="C662" s="10" t="s">
        <v>66</v>
      </c>
      <c r="D662" s="10" t="s">
        <v>82</v>
      </c>
      <c r="E662" s="10">
        <v>1</v>
      </c>
      <c r="F662" s="10">
        <v>3</v>
      </c>
      <c r="G662" s="10">
        <v>0</v>
      </c>
      <c r="H662" s="10">
        <v>2</v>
      </c>
      <c r="I662" s="10">
        <v>3</v>
      </c>
      <c r="J662" s="10">
        <f t="shared" si="40"/>
        <v>1.8</v>
      </c>
      <c r="K662" s="10">
        <f t="shared" si="41"/>
        <v>2</v>
      </c>
      <c r="L662" s="11" t="str">
        <f t="shared" si="42"/>
        <v>A</v>
      </c>
      <c r="M662" s="10" t="str">
        <f t="shared" si="43"/>
        <v>Aprobado</v>
      </c>
      <c r="N662" s="14">
        <v>0.5</v>
      </c>
    </row>
    <row r="663" spans="1:14" x14ac:dyDescent="0.25">
      <c r="A663" s="12" t="s">
        <v>67</v>
      </c>
      <c r="B663" s="12" t="s">
        <v>86</v>
      </c>
      <c r="C663" s="12" t="s">
        <v>68</v>
      </c>
      <c r="D663" s="12" t="s">
        <v>82</v>
      </c>
      <c r="E663" s="12">
        <v>3</v>
      </c>
      <c r="F663" s="12">
        <v>2</v>
      </c>
      <c r="G663" s="12">
        <v>2</v>
      </c>
      <c r="H663" s="12">
        <v>0</v>
      </c>
      <c r="I663" s="12">
        <v>1</v>
      </c>
      <c r="J663" s="12">
        <f t="shared" si="40"/>
        <v>1.6</v>
      </c>
      <c r="K663" s="12">
        <f t="shared" si="41"/>
        <v>2</v>
      </c>
      <c r="L663" s="13" t="str">
        <f t="shared" si="42"/>
        <v>A</v>
      </c>
      <c r="M663" s="12" t="str">
        <f t="shared" si="43"/>
        <v>Aprobado</v>
      </c>
      <c r="N663" s="15">
        <v>0.7</v>
      </c>
    </row>
    <row r="664" spans="1:14" x14ac:dyDescent="0.25">
      <c r="A664" s="10" t="s">
        <v>69</v>
      </c>
      <c r="B664" s="10" t="s">
        <v>86</v>
      </c>
      <c r="C664" s="10" t="s">
        <v>70</v>
      </c>
      <c r="D664" s="10" t="s">
        <v>82</v>
      </c>
      <c r="E664" s="10">
        <v>0</v>
      </c>
      <c r="F664" s="10">
        <v>3</v>
      </c>
      <c r="G664" s="10">
        <v>3</v>
      </c>
      <c r="H664" s="10">
        <v>2</v>
      </c>
      <c r="I664" s="10">
        <v>0</v>
      </c>
      <c r="J664" s="10">
        <f t="shared" si="40"/>
        <v>1.6</v>
      </c>
      <c r="K664" s="10">
        <f t="shared" si="41"/>
        <v>2</v>
      </c>
      <c r="L664" s="11" t="str">
        <f t="shared" si="42"/>
        <v>A</v>
      </c>
      <c r="M664" s="10" t="str">
        <f t="shared" si="43"/>
        <v>Aprobado</v>
      </c>
      <c r="N664" s="14">
        <v>0.7</v>
      </c>
    </row>
    <row r="665" spans="1:14" x14ac:dyDescent="0.25">
      <c r="A665" s="12" t="s">
        <v>71</v>
      </c>
      <c r="B665" s="12" t="s">
        <v>86</v>
      </c>
      <c r="C665" s="12" t="s">
        <v>72</v>
      </c>
      <c r="D665" s="12" t="s">
        <v>82</v>
      </c>
      <c r="E665" s="12">
        <v>0</v>
      </c>
      <c r="F665" s="12">
        <v>0</v>
      </c>
      <c r="G665" s="12">
        <v>1</v>
      </c>
      <c r="H665" s="12">
        <v>1</v>
      </c>
      <c r="I665" s="12">
        <v>2</v>
      </c>
      <c r="J665" s="12">
        <f t="shared" si="40"/>
        <v>0.8</v>
      </c>
      <c r="K665" s="12">
        <f t="shared" si="41"/>
        <v>1</v>
      </c>
      <c r="L665" s="13" t="str">
        <f t="shared" si="42"/>
        <v>B</v>
      </c>
      <c r="M665" s="12" t="str">
        <f t="shared" si="43"/>
        <v>Desaprobado</v>
      </c>
      <c r="N665" s="15">
        <v>0.25</v>
      </c>
    </row>
    <row r="666" spans="1:14" x14ac:dyDescent="0.25">
      <c r="A666" s="10" t="s">
        <v>73</v>
      </c>
      <c r="B666" s="10" t="s">
        <v>86</v>
      </c>
      <c r="C666" s="10" t="s">
        <v>74</v>
      </c>
      <c r="D666" s="10" t="s">
        <v>82</v>
      </c>
      <c r="E666" s="10">
        <v>2</v>
      </c>
      <c r="F666" s="10">
        <v>2</v>
      </c>
      <c r="G666" s="10">
        <v>2</v>
      </c>
      <c r="H666" s="10">
        <v>0</v>
      </c>
      <c r="I666" s="10">
        <v>0</v>
      </c>
      <c r="J666" s="10">
        <f t="shared" si="40"/>
        <v>1.2</v>
      </c>
      <c r="K666" s="10">
        <f t="shared" si="41"/>
        <v>1</v>
      </c>
      <c r="L666" s="11" t="str">
        <f t="shared" si="42"/>
        <v>B</v>
      </c>
      <c r="M666" s="10" t="str">
        <f t="shared" si="43"/>
        <v>Desaprobado</v>
      </c>
      <c r="N666" s="14">
        <v>0.2</v>
      </c>
    </row>
    <row r="667" spans="1:14" x14ac:dyDescent="0.25">
      <c r="A667" s="12" t="s">
        <v>75</v>
      </c>
      <c r="B667" s="12" t="s">
        <v>86</v>
      </c>
      <c r="C667" s="12" t="s">
        <v>76</v>
      </c>
      <c r="D667" s="12" t="s">
        <v>82</v>
      </c>
      <c r="E667" s="12">
        <v>0</v>
      </c>
      <c r="F667" s="12">
        <v>3</v>
      </c>
      <c r="G667" s="12">
        <v>2</v>
      </c>
      <c r="H667" s="12">
        <v>0</v>
      </c>
      <c r="I667" s="12">
        <v>2</v>
      </c>
      <c r="J667" s="12">
        <f t="shared" si="40"/>
        <v>1.4</v>
      </c>
      <c r="K667" s="12">
        <f t="shared" si="41"/>
        <v>1</v>
      </c>
      <c r="L667" s="13" t="str">
        <f t="shared" si="42"/>
        <v>B</v>
      </c>
      <c r="M667" s="12" t="str">
        <f t="shared" si="43"/>
        <v>Desaprobado</v>
      </c>
      <c r="N667" s="15">
        <v>0.65</v>
      </c>
    </row>
    <row r="668" spans="1:14" x14ac:dyDescent="0.25">
      <c r="A668" s="10" t="s">
        <v>77</v>
      </c>
      <c r="B668" s="10" t="s">
        <v>86</v>
      </c>
      <c r="C668" s="10" t="s">
        <v>78</v>
      </c>
      <c r="D668" s="10" t="s">
        <v>82</v>
      </c>
      <c r="E668" s="10">
        <v>3</v>
      </c>
      <c r="F668" s="10">
        <v>3</v>
      </c>
      <c r="G668" s="10">
        <v>0</v>
      </c>
      <c r="H668" s="10">
        <v>1</v>
      </c>
      <c r="I668" s="10">
        <v>3</v>
      </c>
      <c r="J668" s="10">
        <f t="shared" si="40"/>
        <v>2</v>
      </c>
      <c r="K668" s="10">
        <f t="shared" si="41"/>
        <v>2</v>
      </c>
      <c r="L668" s="11" t="str">
        <f t="shared" si="42"/>
        <v>A</v>
      </c>
      <c r="M668" s="10" t="str">
        <f t="shared" si="43"/>
        <v>Aprobado</v>
      </c>
      <c r="N668" s="14">
        <v>0.7</v>
      </c>
    </row>
    <row r="669" spans="1:14" x14ac:dyDescent="0.25">
      <c r="A669" s="12" t="s">
        <v>14</v>
      </c>
      <c r="B669" s="12" t="s">
        <v>86</v>
      </c>
      <c r="C669" s="12" t="s">
        <v>16</v>
      </c>
      <c r="D669" s="12" t="s">
        <v>83</v>
      </c>
      <c r="E669" s="12">
        <v>2</v>
      </c>
      <c r="F669" s="12">
        <v>1</v>
      </c>
      <c r="G669" s="12">
        <v>2</v>
      </c>
      <c r="H669" s="12">
        <v>2</v>
      </c>
      <c r="I669" s="12">
        <v>2</v>
      </c>
      <c r="J669" s="12">
        <f t="shared" si="40"/>
        <v>1.8</v>
      </c>
      <c r="K669" s="12">
        <f t="shared" si="41"/>
        <v>2</v>
      </c>
      <c r="L669" s="13" t="str">
        <f t="shared" si="42"/>
        <v>A</v>
      </c>
      <c r="M669" s="12" t="str">
        <f t="shared" si="43"/>
        <v>Aprobado</v>
      </c>
      <c r="N669" s="15">
        <v>0.9</v>
      </c>
    </row>
    <row r="670" spans="1:14" x14ac:dyDescent="0.25">
      <c r="A670" s="10" t="s">
        <v>19</v>
      </c>
      <c r="B670" s="10" t="s">
        <v>86</v>
      </c>
      <c r="C670" s="10" t="s">
        <v>20</v>
      </c>
      <c r="D670" s="10" t="s">
        <v>83</v>
      </c>
      <c r="E670" s="10">
        <v>0</v>
      </c>
      <c r="F670" s="10">
        <v>1</v>
      </c>
      <c r="G670" s="10">
        <v>0</v>
      </c>
      <c r="H670" s="10">
        <v>0</v>
      </c>
      <c r="I670" s="10">
        <v>1</v>
      </c>
      <c r="J670" s="10">
        <f t="shared" si="40"/>
        <v>0.4</v>
      </c>
      <c r="K670" s="10">
        <f t="shared" si="41"/>
        <v>0</v>
      </c>
      <c r="L670" s="11" t="str">
        <f t="shared" si="42"/>
        <v>C</v>
      </c>
      <c r="M670" s="10" t="str">
        <f t="shared" si="43"/>
        <v>Desaprobado</v>
      </c>
      <c r="N670" s="14">
        <v>0.7</v>
      </c>
    </row>
    <row r="671" spans="1:14" x14ac:dyDescent="0.25">
      <c r="A671" s="12" t="s">
        <v>22</v>
      </c>
      <c r="B671" s="12" t="s">
        <v>86</v>
      </c>
      <c r="C671" s="12" t="s">
        <v>23</v>
      </c>
      <c r="D671" s="12" t="s">
        <v>83</v>
      </c>
      <c r="E671" s="12">
        <v>3</v>
      </c>
      <c r="F671" s="12">
        <v>2</v>
      </c>
      <c r="G671" s="12">
        <v>3</v>
      </c>
      <c r="H671" s="12">
        <v>0</v>
      </c>
      <c r="I671" s="12">
        <v>3</v>
      </c>
      <c r="J671" s="12">
        <f t="shared" si="40"/>
        <v>2.2000000000000002</v>
      </c>
      <c r="K671" s="12">
        <f t="shared" si="41"/>
        <v>2</v>
      </c>
      <c r="L671" s="13" t="str">
        <f t="shared" si="42"/>
        <v>A</v>
      </c>
      <c r="M671" s="12" t="str">
        <f t="shared" si="43"/>
        <v>Aprobado</v>
      </c>
      <c r="N671" s="15">
        <v>0.95</v>
      </c>
    </row>
    <row r="672" spans="1:14" x14ac:dyDescent="0.25">
      <c r="A672" s="10" t="s">
        <v>25</v>
      </c>
      <c r="B672" s="10" t="s">
        <v>86</v>
      </c>
      <c r="C672" s="10" t="s">
        <v>26</v>
      </c>
      <c r="D672" s="10" t="s">
        <v>83</v>
      </c>
      <c r="E672" s="10">
        <v>3</v>
      </c>
      <c r="F672" s="10">
        <v>3</v>
      </c>
      <c r="G672" s="10">
        <v>2</v>
      </c>
      <c r="H672" s="10">
        <v>1</v>
      </c>
      <c r="I672" s="10">
        <v>2</v>
      </c>
      <c r="J672" s="10">
        <f t="shared" si="40"/>
        <v>2.2000000000000002</v>
      </c>
      <c r="K672" s="10">
        <f t="shared" si="41"/>
        <v>2</v>
      </c>
      <c r="L672" s="11" t="str">
        <f t="shared" si="42"/>
        <v>A</v>
      </c>
      <c r="M672" s="10" t="str">
        <f t="shared" si="43"/>
        <v>Aprobado</v>
      </c>
      <c r="N672" s="14">
        <v>0.6</v>
      </c>
    </row>
    <row r="673" spans="1:14" x14ac:dyDescent="0.25">
      <c r="A673" s="12" t="s">
        <v>28</v>
      </c>
      <c r="B673" s="12" t="s">
        <v>86</v>
      </c>
      <c r="C673" s="12" t="s">
        <v>29</v>
      </c>
      <c r="D673" s="12" t="s">
        <v>83</v>
      </c>
      <c r="E673" s="12">
        <v>2</v>
      </c>
      <c r="F673" s="12">
        <v>3</v>
      </c>
      <c r="G673" s="12">
        <v>1</v>
      </c>
      <c r="H673" s="12">
        <v>3</v>
      </c>
      <c r="I673" s="12">
        <v>1</v>
      </c>
      <c r="J673" s="12">
        <f t="shared" si="40"/>
        <v>2</v>
      </c>
      <c r="K673" s="12">
        <f t="shared" si="41"/>
        <v>2</v>
      </c>
      <c r="L673" s="13" t="str">
        <f t="shared" si="42"/>
        <v>A</v>
      </c>
      <c r="M673" s="12" t="str">
        <f t="shared" si="43"/>
        <v>Aprobado</v>
      </c>
      <c r="N673" s="15">
        <v>0.1</v>
      </c>
    </row>
    <row r="674" spans="1:14" x14ac:dyDescent="0.25">
      <c r="A674" s="10" t="s">
        <v>31</v>
      </c>
      <c r="B674" s="10" t="s">
        <v>86</v>
      </c>
      <c r="C674" s="10" t="s">
        <v>32</v>
      </c>
      <c r="D674" s="10" t="s">
        <v>83</v>
      </c>
      <c r="E674" s="10">
        <v>2</v>
      </c>
      <c r="F674" s="10">
        <v>1</v>
      </c>
      <c r="G674" s="10">
        <v>1</v>
      </c>
      <c r="H674" s="10">
        <v>3</v>
      </c>
      <c r="I674" s="10">
        <v>1</v>
      </c>
      <c r="J674" s="10">
        <f t="shared" si="40"/>
        <v>1.6</v>
      </c>
      <c r="K674" s="10">
        <f t="shared" si="41"/>
        <v>2</v>
      </c>
      <c r="L674" s="11" t="str">
        <f t="shared" si="42"/>
        <v>A</v>
      </c>
      <c r="M674" s="10" t="str">
        <f t="shared" si="43"/>
        <v>Aprobado</v>
      </c>
      <c r="N674" s="14">
        <v>0.9</v>
      </c>
    </row>
    <row r="675" spans="1:14" x14ac:dyDescent="0.25">
      <c r="A675" s="12" t="s">
        <v>33</v>
      </c>
      <c r="B675" s="12" t="s">
        <v>86</v>
      </c>
      <c r="C675" s="12" t="s">
        <v>34</v>
      </c>
      <c r="D675" s="12" t="s">
        <v>83</v>
      </c>
      <c r="E675" s="12">
        <v>0</v>
      </c>
      <c r="F675" s="12">
        <v>1</v>
      </c>
      <c r="G675" s="12">
        <v>2</v>
      </c>
      <c r="H675" s="12">
        <v>2</v>
      </c>
      <c r="I675" s="12">
        <v>3</v>
      </c>
      <c r="J675" s="12">
        <f t="shared" si="40"/>
        <v>1.6</v>
      </c>
      <c r="K675" s="12">
        <f t="shared" si="41"/>
        <v>2</v>
      </c>
      <c r="L675" s="13" t="str">
        <f t="shared" si="42"/>
        <v>A</v>
      </c>
      <c r="M675" s="12" t="str">
        <f t="shared" si="43"/>
        <v>Aprobado</v>
      </c>
      <c r="N675" s="15">
        <v>0.95</v>
      </c>
    </row>
    <row r="676" spans="1:14" x14ac:dyDescent="0.25">
      <c r="A676" s="10" t="s">
        <v>35</v>
      </c>
      <c r="B676" s="10" t="s">
        <v>86</v>
      </c>
      <c r="C676" s="10" t="s">
        <v>36</v>
      </c>
      <c r="D676" s="10" t="s">
        <v>83</v>
      </c>
      <c r="E676" s="10">
        <v>1</v>
      </c>
      <c r="F676" s="10">
        <v>0</v>
      </c>
      <c r="G676" s="10">
        <v>3</v>
      </c>
      <c r="H676" s="10">
        <v>0</v>
      </c>
      <c r="I676" s="10">
        <v>3</v>
      </c>
      <c r="J676" s="10">
        <f t="shared" si="40"/>
        <v>1.4</v>
      </c>
      <c r="K676" s="10">
        <f t="shared" si="41"/>
        <v>1</v>
      </c>
      <c r="L676" s="11" t="str">
        <f t="shared" si="42"/>
        <v>B</v>
      </c>
      <c r="M676" s="10" t="str">
        <f t="shared" si="43"/>
        <v>Desaprobado</v>
      </c>
      <c r="N676" s="14">
        <v>0.6</v>
      </c>
    </row>
    <row r="677" spans="1:14" x14ac:dyDescent="0.25">
      <c r="A677" s="12" t="s">
        <v>37</v>
      </c>
      <c r="B677" s="12" t="s">
        <v>86</v>
      </c>
      <c r="C677" s="12" t="s">
        <v>38</v>
      </c>
      <c r="D677" s="12" t="s">
        <v>83</v>
      </c>
      <c r="E677" s="12">
        <v>3</v>
      </c>
      <c r="F677" s="12">
        <v>3</v>
      </c>
      <c r="G677" s="12">
        <v>0</v>
      </c>
      <c r="H677" s="12">
        <v>2</v>
      </c>
      <c r="I677" s="12">
        <v>2</v>
      </c>
      <c r="J677" s="12">
        <f t="shared" si="40"/>
        <v>2</v>
      </c>
      <c r="K677" s="12">
        <f t="shared" si="41"/>
        <v>2</v>
      </c>
      <c r="L677" s="13" t="str">
        <f t="shared" si="42"/>
        <v>A</v>
      </c>
      <c r="M677" s="12" t="str">
        <f t="shared" si="43"/>
        <v>Aprobado</v>
      </c>
      <c r="N677" s="15">
        <v>0.2</v>
      </c>
    </row>
    <row r="678" spans="1:14" x14ac:dyDescent="0.25">
      <c r="A678" s="10" t="s">
        <v>39</v>
      </c>
      <c r="B678" s="10" t="s">
        <v>86</v>
      </c>
      <c r="C678" s="10" t="s">
        <v>40</v>
      </c>
      <c r="D678" s="10" t="s">
        <v>83</v>
      </c>
      <c r="E678" s="10">
        <v>3</v>
      </c>
      <c r="F678" s="10">
        <v>0</v>
      </c>
      <c r="G678" s="10">
        <v>1</v>
      </c>
      <c r="H678" s="10">
        <v>3</v>
      </c>
      <c r="I678" s="10">
        <v>0</v>
      </c>
      <c r="J678" s="10">
        <f t="shared" si="40"/>
        <v>1.4</v>
      </c>
      <c r="K678" s="10">
        <f t="shared" si="41"/>
        <v>1</v>
      </c>
      <c r="L678" s="11" t="str">
        <f t="shared" si="42"/>
        <v>B</v>
      </c>
      <c r="M678" s="10" t="str">
        <f t="shared" si="43"/>
        <v>Desaprobado</v>
      </c>
      <c r="N678" s="14">
        <v>0.95</v>
      </c>
    </row>
    <row r="679" spans="1:14" x14ac:dyDescent="0.25">
      <c r="A679" s="12" t="s">
        <v>41</v>
      </c>
      <c r="B679" s="12" t="s">
        <v>86</v>
      </c>
      <c r="C679" s="12" t="s">
        <v>42</v>
      </c>
      <c r="D679" s="12" t="s">
        <v>83</v>
      </c>
      <c r="E679" s="12">
        <v>2</v>
      </c>
      <c r="F679" s="12">
        <v>3</v>
      </c>
      <c r="G679" s="12">
        <v>0</v>
      </c>
      <c r="H679" s="12">
        <v>1</v>
      </c>
      <c r="I679" s="12">
        <v>0</v>
      </c>
      <c r="J679" s="12">
        <f t="shared" si="40"/>
        <v>1.2</v>
      </c>
      <c r="K679" s="12">
        <f t="shared" si="41"/>
        <v>1</v>
      </c>
      <c r="L679" s="13" t="str">
        <f t="shared" si="42"/>
        <v>B</v>
      </c>
      <c r="M679" s="12" t="str">
        <f t="shared" si="43"/>
        <v>Desaprobado</v>
      </c>
      <c r="N679" s="15">
        <v>0.8</v>
      </c>
    </row>
    <row r="680" spans="1:14" x14ac:dyDescent="0.25">
      <c r="A680" s="10" t="s">
        <v>43</v>
      </c>
      <c r="B680" s="10" t="s">
        <v>86</v>
      </c>
      <c r="C680" s="10" t="s">
        <v>44</v>
      </c>
      <c r="D680" s="10" t="s">
        <v>83</v>
      </c>
      <c r="E680" s="10">
        <v>2</v>
      </c>
      <c r="F680" s="10">
        <v>1</v>
      </c>
      <c r="G680" s="10">
        <v>1</v>
      </c>
      <c r="H680" s="10">
        <v>2</v>
      </c>
      <c r="I680" s="10">
        <v>2</v>
      </c>
      <c r="J680" s="10">
        <f t="shared" si="40"/>
        <v>1.6</v>
      </c>
      <c r="K680" s="10">
        <f t="shared" si="41"/>
        <v>2</v>
      </c>
      <c r="L680" s="11" t="str">
        <f t="shared" si="42"/>
        <v>A</v>
      </c>
      <c r="M680" s="10" t="str">
        <f t="shared" si="43"/>
        <v>Aprobado</v>
      </c>
      <c r="N680" s="14">
        <v>0.25</v>
      </c>
    </row>
    <row r="681" spans="1:14" x14ac:dyDescent="0.25">
      <c r="A681" s="12" t="s">
        <v>45</v>
      </c>
      <c r="B681" s="12" t="s">
        <v>86</v>
      </c>
      <c r="C681" s="12" t="s">
        <v>46</v>
      </c>
      <c r="D681" s="12" t="s">
        <v>83</v>
      </c>
      <c r="E681" s="12">
        <v>3</v>
      </c>
      <c r="F681" s="12">
        <v>2</v>
      </c>
      <c r="G681" s="12">
        <v>1</v>
      </c>
      <c r="H681" s="12">
        <v>1</v>
      </c>
      <c r="I681" s="12">
        <v>3</v>
      </c>
      <c r="J681" s="12">
        <f t="shared" si="40"/>
        <v>2</v>
      </c>
      <c r="K681" s="12">
        <f t="shared" si="41"/>
        <v>2</v>
      </c>
      <c r="L681" s="13" t="str">
        <f t="shared" si="42"/>
        <v>A</v>
      </c>
      <c r="M681" s="12" t="str">
        <f t="shared" si="43"/>
        <v>Aprobado</v>
      </c>
      <c r="N681" s="15">
        <v>0.4</v>
      </c>
    </row>
    <row r="682" spans="1:14" x14ac:dyDescent="0.25">
      <c r="A682" s="10" t="s">
        <v>47</v>
      </c>
      <c r="B682" s="10" t="s">
        <v>86</v>
      </c>
      <c r="C682" s="10" t="s">
        <v>48</v>
      </c>
      <c r="D682" s="10" t="s">
        <v>83</v>
      </c>
      <c r="E682" s="10">
        <v>2</v>
      </c>
      <c r="F682" s="10">
        <v>0</v>
      </c>
      <c r="G682" s="10">
        <v>0</v>
      </c>
      <c r="H682" s="10">
        <v>0</v>
      </c>
      <c r="I682" s="10">
        <v>1</v>
      </c>
      <c r="J682" s="10">
        <f t="shared" si="40"/>
        <v>0.6</v>
      </c>
      <c r="K682" s="10">
        <f t="shared" si="41"/>
        <v>1</v>
      </c>
      <c r="L682" s="11" t="str">
        <f t="shared" si="42"/>
        <v>B</v>
      </c>
      <c r="M682" s="10" t="str">
        <f t="shared" si="43"/>
        <v>Desaprobado</v>
      </c>
      <c r="N682" s="14">
        <v>0.4</v>
      </c>
    </row>
    <row r="683" spans="1:14" x14ac:dyDescent="0.25">
      <c r="A683" s="12" t="s">
        <v>49</v>
      </c>
      <c r="B683" s="12" t="s">
        <v>86</v>
      </c>
      <c r="C683" s="12" t="s">
        <v>50</v>
      </c>
      <c r="D683" s="12" t="s">
        <v>83</v>
      </c>
      <c r="E683" s="12">
        <v>1</v>
      </c>
      <c r="F683" s="12">
        <v>1</v>
      </c>
      <c r="G683" s="12">
        <v>2</v>
      </c>
      <c r="H683" s="12">
        <v>0</v>
      </c>
      <c r="I683" s="12">
        <v>1</v>
      </c>
      <c r="J683" s="12">
        <f t="shared" si="40"/>
        <v>1</v>
      </c>
      <c r="K683" s="12">
        <f t="shared" si="41"/>
        <v>1</v>
      </c>
      <c r="L683" s="13" t="str">
        <f t="shared" si="42"/>
        <v>B</v>
      </c>
      <c r="M683" s="12" t="str">
        <f t="shared" si="43"/>
        <v>Desaprobado</v>
      </c>
      <c r="N683" s="15">
        <v>0.5</v>
      </c>
    </row>
    <row r="684" spans="1:14" x14ac:dyDescent="0.25">
      <c r="A684" s="10" t="s">
        <v>51</v>
      </c>
      <c r="B684" s="10" t="s">
        <v>86</v>
      </c>
      <c r="C684" s="10" t="s">
        <v>52</v>
      </c>
      <c r="D684" s="10" t="s">
        <v>83</v>
      </c>
      <c r="E684" s="10">
        <v>2</v>
      </c>
      <c r="F684" s="10">
        <v>1</v>
      </c>
      <c r="G684" s="10">
        <v>1</v>
      </c>
      <c r="H684" s="10">
        <v>1</v>
      </c>
      <c r="I684" s="10">
        <v>1</v>
      </c>
      <c r="J684" s="10">
        <f t="shared" si="40"/>
        <v>1.2</v>
      </c>
      <c r="K684" s="10">
        <f t="shared" si="41"/>
        <v>1</v>
      </c>
      <c r="L684" s="11" t="str">
        <f t="shared" si="42"/>
        <v>B</v>
      </c>
      <c r="M684" s="10" t="str">
        <f t="shared" si="43"/>
        <v>Desaprobado</v>
      </c>
      <c r="N684" s="14">
        <v>0.7</v>
      </c>
    </row>
    <row r="685" spans="1:14" x14ac:dyDescent="0.25">
      <c r="A685" s="12" t="s">
        <v>53</v>
      </c>
      <c r="B685" s="12" t="s">
        <v>86</v>
      </c>
      <c r="C685" s="12" t="s">
        <v>54</v>
      </c>
      <c r="D685" s="12" t="s">
        <v>83</v>
      </c>
      <c r="E685" s="12">
        <v>1</v>
      </c>
      <c r="F685" s="12">
        <v>3</v>
      </c>
      <c r="G685" s="12">
        <v>1</v>
      </c>
      <c r="H685" s="12">
        <v>1</v>
      </c>
      <c r="I685" s="12">
        <v>0</v>
      </c>
      <c r="J685" s="12">
        <f t="shared" si="40"/>
        <v>1.2</v>
      </c>
      <c r="K685" s="12">
        <f t="shared" si="41"/>
        <v>1</v>
      </c>
      <c r="L685" s="13" t="str">
        <f t="shared" si="42"/>
        <v>B</v>
      </c>
      <c r="M685" s="12" t="str">
        <f t="shared" si="43"/>
        <v>Desaprobado</v>
      </c>
      <c r="N685" s="15">
        <v>0.7</v>
      </c>
    </row>
    <row r="686" spans="1:14" x14ac:dyDescent="0.25">
      <c r="A686" s="10" t="s">
        <v>55</v>
      </c>
      <c r="B686" s="10" t="s">
        <v>86</v>
      </c>
      <c r="C686" s="10" t="s">
        <v>56</v>
      </c>
      <c r="D686" s="10" t="s">
        <v>83</v>
      </c>
      <c r="E686" s="10">
        <v>2</v>
      </c>
      <c r="F686" s="10">
        <v>2</v>
      </c>
      <c r="G686" s="10">
        <v>2</v>
      </c>
      <c r="H686" s="10">
        <v>3</v>
      </c>
      <c r="I686" s="10">
        <v>1</v>
      </c>
      <c r="J686" s="10">
        <f t="shared" si="40"/>
        <v>2</v>
      </c>
      <c r="K686" s="10">
        <f t="shared" si="41"/>
        <v>2</v>
      </c>
      <c r="L686" s="11" t="str">
        <f t="shared" si="42"/>
        <v>A</v>
      </c>
      <c r="M686" s="10" t="str">
        <f t="shared" si="43"/>
        <v>Aprobado</v>
      </c>
      <c r="N686" s="14">
        <v>0.25</v>
      </c>
    </row>
    <row r="687" spans="1:14" x14ac:dyDescent="0.25">
      <c r="A687" s="12" t="s">
        <v>57</v>
      </c>
      <c r="B687" s="12" t="s">
        <v>86</v>
      </c>
      <c r="C687" s="12" t="s">
        <v>58</v>
      </c>
      <c r="D687" s="12" t="s">
        <v>83</v>
      </c>
      <c r="E687" s="12">
        <v>2</v>
      </c>
      <c r="F687" s="12">
        <v>0</v>
      </c>
      <c r="G687" s="12">
        <v>3</v>
      </c>
      <c r="H687" s="12">
        <v>2</v>
      </c>
      <c r="I687" s="12">
        <v>3</v>
      </c>
      <c r="J687" s="12">
        <f t="shared" si="40"/>
        <v>2</v>
      </c>
      <c r="K687" s="12">
        <f t="shared" si="41"/>
        <v>2</v>
      </c>
      <c r="L687" s="13" t="str">
        <f t="shared" si="42"/>
        <v>A</v>
      </c>
      <c r="M687" s="12" t="str">
        <f t="shared" si="43"/>
        <v>Aprobado</v>
      </c>
      <c r="N687" s="15">
        <v>0.2</v>
      </c>
    </row>
    <row r="688" spans="1:14" x14ac:dyDescent="0.25">
      <c r="A688" s="10" t="s">
        <v>59</v>
      </c>
      <c r="B688" s="10" t="s">
        <v>86</v>
      </c>
      <c r="C688" s="10" t="s">
        <v>60</v>
      </c>
      <c r="D688" s="10" t="s">
        <v>83</v>
      </c>
      <c r="E688" s="10">
        <v>3</v>
      </c>
      <c r="F688" s="10">
        <v>3</v>
      </c>
      <c r="G688" s="10">
        <v>2</v>
      </c>
      <c r="H688" s="10">
        <v>1</v>
      </c>
      <c r="I688" s="10">
        <v>3</v>
      </c>
      <c r="J688" s="10">
        <f t="shared" si="40"/>
        <v>2.4</v>
      </c>
      <c r="K688" s="10">
        <f t="shared" si="41"/>
        <v>2</v>
      </c>
      <c r="L688" s="11" t="str">
        <f t="shared" si="42"/>
        <v>A</v>
      </c>
      <c r="M688" s="10" t="str">
        <f t="shared" si="43"/>
        <v>Aprobado</v>
      </c>
      <c r="N688" s="14">
        <v>0.65</v>
      </c>
    </row>
    <row r="689" spans="1:14" x14ac:dyDescent="0.25">
      <c r="A689" s="12" t="s">
        <v>61</v>
      </c>
      <c r="B689" s="12" t="s">
        <v>86</v>
      </c>
      <c r="C689" s="12" t="s">
        <v>62</v>
      </c>
      <c r="D689" s="12" t="s">
        <v>83</v>
      </c>
      <c r="E689" s="12">
        <v>2</v>
      </c>
      <c r="F689" s="12">
        <v>0</v>
      </c>
      <c r="G689" s="12">
        <v>2</v>
      </c>
      <c r="H689" s="12">
        <v>2</v>
      </c>
      <c r="I689" s="12">
        <v>0</v>
      </c>
      <c r="J689" s="12">
        <f t="shared" si="40"/>
        <v>1.2</v>
      </c>
      <c r="K689" s="12">
        <f t="shared" si="41"/>
        <v>1</v>
      </c>
      <c r="L689" s="13" t="str">
        <f t="shared" si="42"/>
        <v>B</v>
      </c>
      <c r="M689" s="12" t="str">
        <f t="shared" si="43"/>
        <v>Desaprobado</v>
      </c>
      <c r="N689" s="15">
        <v>0.7</v>
      </c>
    </row>
    <row r="690" spans="1:14" x14ac:dyDescent="0.25">
      <c r="A690" s="10" t="s">
        <v>63</v>
      </c>
      <c r="B690" s="10" t="s">
        <v>86</v>
      </c>
      <c r="C690" s="10" t="s">
        <v>64</v>
      </c>
      <c r="D690" s="10" t="s">
        <v>83</v>
      </c>
      <c r="E690" s="10">
        <v>3</v>
      </c>
      <c r="F690" s="10">
        <v>1</v>
      </c>
      <c r="G690" s="10">
        <v>2</v>
      </c>
      <c r="H690" s="10">
        <v>1</v>
      </c>
      <c r="I690" s="10">
        <v>2</v>
      </c>
      <c r="J690" s="10">
        <f t="shared" si="40"/>
        <v>1.8</v>
      </c>
      <c r="K690" s="10">
        <f t="shared" si="41"/>
        <v>2</v>
      </c>
      <c r="L690" s="11" t="str">
        <f t="shared" si="42"/>
        <v>A</v>
      </c>
      <c r="M690" s="10" t="str">
        <f t="shared" si="43"/>
        <v>Aprobado</v>
      </c>
      <c r="N690" s="14">
        <v>0.9</v>
      </c>
    </row>
    <row r="691" spans="1:14" x14ac:dyDescent="0.25">
      <c r="A691" s="12" t="s">
        <v>65</v>
      </c>
      <c r="B691" s="12" t="s">
        <v>86</v>
      </c>
      <c r="C691" s="12" t="s">
        <v>66</v>
      </c>
      <c r="D691" s="12" t="s">
        <v>83</v>
      </c>
      <c r="E691" s="12">
        <v>0</v>
      </c>
      <c r="F691" s="12">
        <v>2</v>
      </c>
      <c r="G691" s="12">
        <v>2</v>
      </c>
      <c r="H691" s="12">
        <v>2</v>
      </c>
      <c r="I691" s="12">
        <v>3</v>
      </c>
      <c r="J691" s="12">
        <f t="shared" si="40"/>
        <v>1.8</v>
      </c>
      <c r="K691" s="12">
        <f t="shared" si="41"/>
        <v>2</v>
      </c>
      <c r="L691" s="13" t="str">
        <f t="shared" si="42"/>
        <v>A</v>
      </c>
      <c r="M691" s="12" t="str">
        <f t="shared" si="43"/>
        <v>Aprobado</v>
      </c>
      <c r="N691" s="15">
        <v>0.7</v>
      </c>
    </row>
    <row r="692" spans="1:14" x14ac:dyDescent="0.25">
      <c r="A692" s="10" t="s">
        <v>67</v>
      </c>
      <c r="B692" s="10" t="s">
        <v>86</v>
      </c>
      <c r="C692" s="10" t="s">
        <v>68</v>
      </c>
      <c r="D692" s="10" t="s">
        <v>83</v>
      </c>
      <c r="E692" s="10">
        <v>2</v>
      </c>
      <c r="F692" s="10">
        <v>2</v>
      </c>
      <c r="G692" s="10">
        <v>2</v>
      </c>
      <c r="H692" s="10">
        <v>0</v>
      </c>
      <c r="I692" s="10">
        <v>0</v>
      </c>
      <c r="J692" s="10">
        <f t="shared" si="40"/>
        <v>1.2</v>
      </c>
      <c r="K692" s="10">
        <f t="shared" si="41"/>
        <v>1</v>
      </c>
      <c r="L692" s="11" t="str">
        <f t="shared" si="42"/>
        <v>B</v>
      </c>
      <c r="M692" s="10" t="str">
        <f t="shared" si="43"/>
        <v>Desaprobado</v>
      </c>
      <c r="N692" s="14">
        <v>0.95</v>
      </c>
    </row>
    <row r="693" spans="1:14" x14ac:dyDescent="0.25">
      <c r="A693" s="12" t="s">
        <v>69</v>
      </c>
      <c r="B693" s="12" t="s">
        <v>86</v>
      </c>
      <c r="C693" s="12" t="s">
        <v>70</v>
      </c>
      <c r="D693" s="12" t="s">
        <v>83</v>
      </c>
      <c r="E693" s="12">
        <v>2</v>
      </c>
      <c r="F693" s="12">
        <v>3</v>
      </c>
      <c r="G693" s="12">
        <v>2</v>
      </c>
      <c r="H693" s="12">
        <v>0</v>
      </c>
      <c r="I693" s="12">
        <v>1</v>
      </c>
      <c r="J693" s="12">
        <f t="shared" si="40"/>
        <v>1.6</v>
      </c>
      <c r="K693" s="12">
        <f t="shared" si="41"/>
        <v>2</v>
      </c>
      <c r="L693" s="13" t="str">
        <f t="shared" si="42"/>
        <v>A</v>
      </c>
      <c r="M693" s="12" t="str">
        <f t="shared" si="43"/>
        <v>Aprobado</v>
      </c>
      <c r="N693" s="15">
        <v>0.6</v>
      </c>
    </row>
    <row r="694" spans="1:14" x14ac:dyDescent="0.25">
      <c r="A694" s="10" t="s">
        <v>71</v>
      </c>
      <c r="B694" s="10" t="s">
        <v>86</v>
      </c>
      <c r="C694" s="10" t="s">
        <v>72</v>
      </c>
      <c r="D694" s="10" t="s">
        <v>83</v>
      </c>
      <c r="E694" s="10">
        <v>0</v>
      </c>
      <c r="F694" s="10">
        <v>3</v>
      </c>
      <c r="G694" s="10">
        <v>1</v>
      </c>
      <c r="H694" s="10">
        <v>2</v>
      </c>
      <c r="I694" s="10">
        <v>0</v>
      </c>
      <c r="J694" s="10">
        <f t="shared" si="40"/>
        <v>1.2</v>
      </c>
      <c r="K694" s="10">
        <f t="shared" si="41"/>
        <v>1</v>
      </c>
      <c r="L694" s="11" t="str">
        <f t="shared" si="42"/>
        <v>B</v>
      </c>
      <c r="M694" s="10" t="str">
        <f t="shared" si="43"/>
        <v>Desaprobado</v>
      </c>
      <c r="N694" s="14">
        <v>0.1</v>
      </c>
    </row>
    <row r="695" spans="1:14" x14ac:dyDescent="0.25">
      <c r="A695" s="12" t="s">
        <v>73</v>
      </c>
      <c r="B695" s="12" t="s">
        <v>86</v>
      </c>
      <c r="C695" s="12" t="s">
        <v>74</v>
      </c>
      <c r="D695" s="12" t="s">
        <v>83</v>
      </c>
      <c r="E695" s="12">
        <v>0</v>
      </c>
      <c r="F695" s="12">
        <v>3</v>
      </c>
      <c r="G695" s="12">
        <v>3</v>
      </c>
      <c r="H695" s="12">
        <v>1</v>
      </c>
      <c r="I695" s="12">
        <v>2</v>
      </c>
      <c r="J695" s="12">
        <f t="shared" si="40"/>
        <v>1.8</v>
      </c>
      <c r="K695" s="12">
        <f t="shared" si="41"/>
        <v>2</v>
      </c>
      <c r="L695" s="13" t="str">
        <f t="shared" si="42"/>
        <v>A</v>
      </c>
      <c r="M695" s="12" t="str">
        <f t="shared" si="43"/>
        <v>Aprobado</v>
      </c>
      <c r="N695" s="15">
        <v>0.9</v>
      </c>
    </row>
    <row r="696" spans="1:14" x14ac:dyDescent="0.25">
      <c r="A696" s="10" t="s">
        <v>75</v>
      </c>
      <c r="B696" s="10" t="s">
        <v>86</v>
      </c>
      <c r="C696" s="10" t="s">
        <v>76</v>
      </c>
      <c r="D696" s="10" t="s">
        <v>83</v>
      </c>
      <c r="E696" s="10">
        <v>3</v>
      </c>
      <c r="F696" s="10">
        <v>0</v>
      </c>
      <c r="G696" s="10">
        <v>0</v>
      </c>
      <c r="H696" s="10">
        <v>1</v>
      </c>
      <c r="I696" s="10">
        <v>1</v>
      </c>
      <c r="J696" s="10">
        <f t="shared" si="40"/>
        <v>1</v>
      </c>
      <c r="K696" s="10">
        <f t="shared" si="41"/>
        <v>1</v>
      </c>
      <c r="L696" s="11" t="str">
        <f t="shared" si="42"/>
        <v>B</v>
      </c>
      <c r="M696" s="10" t="str">
        <f t="shared" si="43"/>
        <v>Desaprobado</v>
      </c>
      <c r="N696" s="14">
        <v>0.95</v>
      </c>
    </row>
    <row r="697" spans="1:14" x14ac:dyDescent="0.25">
      <c r="A697" s="12" t="s">
        <v>77</v>
      </c>
      <c r="B697" s="12" t="s">
        <v>86</v>
      </c>
      <c r="C697" s="12" t="s">
        <v>78</v>
      </c>
      <c r="D697" s="12" t="s">
        <v>83</v>
      </c>
      <c r="E697" s="12">
        <v>1</v>
      </c>
      <c r="F697" s="12">
        <v>3</v>
      </c>
      <c r="G697" s="12">
        <v>3</v>
      </c>
      <c r="H697" s="12">
        <v>1</v>
      </c>
      <c r="I697" s="12">
        <v>3</v>
      </c>
      <c r="J697" s="12">
        <f t="shared" si="40"/>
        <v>2.2000000000000002</v>
      </c>
      <c r="K697" s="12">
        <f t="shared" si="41"/>
        <v>2</v>
      </c>
      <c r="L697" s="13" t="str">
        <f t="shared" si="42"/>
        <v>A</v>
      </c>
      <c r="M697" s="12" t="str">
        <f t="shared" si="43"/>
        <v>Aprobado</v>
      </c>
      <c r="N697" s="15">
        <v>0.8</v>
      </c>
    </row>
  </sheetData>
  <mergeCells count="1">
    <mergeCell ref="R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Datos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2026-02-25T19:00:11Z</dcterms:created>
  <dcterms:modified xsi:type="dcterms:W3CDTF">2026-02-28T04:00:07Z</dcterms:modified>
</cp:coreProperties>
</file>